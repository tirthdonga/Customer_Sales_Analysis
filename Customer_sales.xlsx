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F:\Excel\final project\"/>
    </mc:Choice>
  </mc:AlternateContent>
  <xr:revisionPtr revIDLastSave="0" documentId="13_ncr:1_{C2E925ED-19BC-4D0C-B2E7-DED2B5EF5944}" xr6:coauthVersionLast="47" xr6:coauthVersionMax="47" xr10:uidLastSave="{00000000-0000-0000-0000-000000000000}"/>
  <bookViews>
    <workbookView xWindow="-108" yWindow="-108" windowWidth="23256" windowHeight="12456" xr2:uid="{D222DDF8-AE52-4E73-9939-2A3CB02B51E8}"/>
  </bookViews>
  <sheets>
    <sheet name="Dashboard" sheetId="6" r:id="rId1"/>
    <sheet name="Analysis" sheetId="2" r:id="rId2"/>
    <sheet name="What-If" sheetId="3" r:id="rId3"/>
    <sheet name="Datas" sheetId="1" r:id="rId4"/>
  </sheets>
  <definedNames>
    <definedName name="_xlnm._FilterDatabase" localSheetId="2" hidden="1">'What-If'!$A$3:$C$3</definedName>
    <definedName name="NativeTimeline_Date">#N/A</definedName>
    <definedName name="Slicer_Category">#N/A</definedName>
    <definedName name="Slicer_Product_Name">#N/A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 i="3" l="1"/>
  <c r="C4" i="3" s="1"/>
  <c r="A4" i="3" a="1"/>
  <c r="A4" i="3" s="1"/>
  <c r="C13" i="3"/>
  <c r="B13" i="3"/>
  <c r="B12" i="3"/>
  <c r="C12" i="3" s="1"/>
  <c r="B11" i="3"/>
  <c r="C11" i="3" s="1"/>
  <c r="B10" i="3"/>
  <c r="C10" i="3" s="1"/>
  <c r="B9" i="3"/>
  <c r="C9" i="3" s="1"/>
  <c r="B8" i="3"/>
  <c r="C8" i="3" s="1"/>
  <c r="B7" i="3"/>
  <c r="C7" i="3" s="1"/>
  <c r="B6" i="3"/>
  <c r="C6" i="3" s="1"/>
  <c r="B5" i="3"/>
  <c r="C5" i="3" s="1"/>
  <c r="Q156" i="1"/>
  <c r="Q24" i="1"/>
  <c r="Q140" i="1"/>
  <c r="Q213" i="1"/>
  <c r="Q44" i="1"/>
  <c r="Q241" i="1"/>
  <c r="Q93" i="1"/>
  <c r="Q194" i="1"/>
  <c r="Q136" i="1"/>
  <c r="Q139" i="1"/>
  <c r="Q186" i="1"/>
  <c r="Q247" i="1"/>
  <c r="Q210" i="1"/>
  <c r="Q231" i="1"/>
  <c r="Q192" i="1"/>
  <c r="Q68" i="1"/>
  <c r="Q135" i="1"/>
  <c r="Q50" i="1"/>
  <c r="Q123" i="1"/>
  <c r="Q223" i="1"/>
  <c r="Q232" i="1"/>
  <c r="Q240" i="1"/>
  <c r="Q205" i="1"/>
  <c r="Q243" i="1"/>
  <c r="Q72" i="1"/>
  <c r="Q5" i="1"/>
  <c r="Q236" i="1"/>
  <c r="Q41" i="1"/>
  <c r="Q64" i="1"/>
  <c r="Q30" i="1"/>
  <c r="Q242" i="1"/>
  <c r="Q195" i="1"/>
  <c r="Q131" i="1"/>
  <c r="Q42" i="1"/>
  <c r="Q233" i="1"/>
  <c r="Q22" i="1"/>
  <c r="Q246" i="1"/>
  <c r="Q16" i="1"/>
  <c r="Q203" i="1"/>
  <c r="Q43" i="1"/>
  <c r="Q118" i="1"/>
  <c r="Q129" i="1"/>
  <c r="Q209" i="1"/>
  <c r="Q235" i="1"/>
  <c r="Q122" i="1"/>
  <c r="Q221" i="1"/>
  <c r="Q94" i="1"/>
  <c r="Q89" i="1"/>
  <c r="Q116" i="1"/>
  <c r="Q155" i="1"/>
  <c r="Q45" i="1"/>
  <c r="Q151" i="1"/>
  <c r="Q62" i="1"/>
  <c r="Q26" i="1"/>
  <c r="Q8" i="1"/>
  <c r="Q79" i="1"/>
  <c r="Q105" i="1"/>
  <c r="Q185" i="1"/>
  <c r="Q128" i="1"/>
  <c r="Q97" i="1"/>
  <c r="Q193" i="1"/>
  <c r="Q71" i="1"/>
  <c r="Q53" i="1"/>
  <c r="Q114" i="1"/>
  <c r="Q115" i="1"/>
  <c r="Q87" i="1"/>
  <c r="Q137" i="1"/>
  <c r="Q19" i="1"/>
  <c r="Q142" i="1"/>
  <c r="Q98" i="1"/>
  <c r="Q217" i="1"/>
  <c r="Q170" i="1"/>
  <c r="Q132" i="1"/>
  <c r="Q163" i="1"/>
  <c r="Q245" i="1"/>
  <c r="Q7" i="1"/>
  <c r="Q216" i="1"/>
  <c r="Q81" i="1"/>
  <c r="Q229" i="1"/>
  <c r="Q3" i="1"/>
  <c r="Q158" i="1"/>
  <c r="Q218" i="1"/>
  <c r="Q250" i="1"/>
  <c r="Q66" i="1"/>
  <c r="Q177" i="1"/>
  <c r="Q102" i="1"/>
  <c r="Q206" i="1"/>
  <c r="Q21" i="1"/>
  <c r="Q76" i="1"/>
  <c r="Q99" i="1"/>
  <c r="Q248" i="1"/>
  <c r="Q28" i="1"/>
  <c r="Q141" i="1"/>
  <c r="Q32" i="1"/>
  <c r="Q133" i="1"/>
  <c r="Q237" i="1"/>
  <c r="Q38" i="1"/>
  <c r="Q2" i="1"/>
  <c r="Q171" i="1"/>
  <c r="Q59" i="1"/>
  <c r="Q249" i="1"/>
  <c r="Q75" i="1"/>
  <c r="Q100" i="1"/>
  <c r="Q226" i="1"/>
  <c r="Q101" i="1"/>
  <c r="Q143" i="1"/>
  <c r="Q113" i="1"/>
  <c r="Q162" i="1"/>
  <c r="Q109" i="1"/>
  <c r="Q212" i="1"/>
  <c r="Q6" i="1"/>
  <c r="Q55" i="1"/>
  <c r="Q196" i="1"/>
  <c r="Q112" i="1"/>
  <c r="Q78" i="1"/>
  <c r="Q124" i="1"/>
  <c r="Q178" i="1"/>
  <c r="Q120" i="1"/>
  <c r="Q182" i="1"/>
  <c r="Q130" i="1"/>
  <c r="Q175" i="1"/>
  <c r="Q147" i="1"/>
  <c r="Q204" i="1"/>
  <c r="Q56" i="1"/>
  <c r="Q219" i="1"/>
  <c r="Q86" i="1"/>
  <c r="Q159" i="1"/>
  <c r="Q174" i="1"/>
  <c r="Q190" i="1"/>
  <c r="Q35" i="1"/>
  <c r="Q191" i="1"/>
  <c r="Q80" i="1"/>
  <c r="Q10" i="1"/>
  <c r="Q96" i="1"/>
  <c r="Q168" i="1"/>
  <c r="Q154" i="1"/>
  <c r="Q58" i="1"/>
  <c r="Q18" i="1"/>
  <c r="Q61" i="1"/>
  <c r="Q110" i="1"/>
  <c r="Q91" i="1"/>
  <c r="Q77" i="1"/>
  <c r="Q173" i="1"/>
  <c r="Q36" i="1"/>
  <c r="Q211" i="1"/>
  <c r="Q150" i="1"/>
  <c r="Q34" i="1"/>
  <c r="Q74" i="1"/>
  <c r="Q161" i="1"/>
  <c r="Q149" i="1"/>
  <c r="Q146" i="1"/>
  <c r="Q13" i="1"/>
  <c r="Q207" i="1"/>
  <c r="Q134" i="1"/>
  <c r="Q95" i="1"/>
  <c r="Q46" i="1"/>
  <c r="Q202" i="1"/>
  <c r="Q138" i="1"/>
  <c r="Q67" i="1"/>
  <c r="Q83" i="1"/>
  <c r="Q37" i="1"/>
  <c r="Q181" i="1"/>
  <c r="Q199" i="1"/>
  <c r="Q33" i="1"/>
  <c r="Q82" i="1"/>
  <c r="Q225" i="1"/>
  <c r="Q29" i="1"/>
  <c r="Q184" i="1"/>
  <c r="Q164" i="1"/>
  <c r="Q47" i="1"/>
  <c r="Q9" i="1"/>
  <c r="Q165" i="1"/>
  <c r="Q172" i="1"/>
  <c r="Q144" i="1"/>
  <c r="Q166" i="1"/>
  <c r="Q157" i="1"/>
  <c r="Q148" i="1"/>
  <c r="Q208" i="1"/>
  <c r="Q57" i="1"/>
  <c r="Q27" i="1"/>
  <c r="Q92" i="1"/>
  <c r="Q238" i="1"/>
  <c r="Q126" i="1"/>
  <c r="Q224" i="1"/>
  <c r="Q244" i="1"/>
  <c r="Q85" i="1"/>
  <c r="Q239" i="1"/>
  <c r="Q23" i="1"/>
  <c r="Q103" i="1"/>
  <c r="Q88" i="1"/>
  <c r="Q108" i="1"/>
  <c r="Q52" i="1"/>
  <c r="Q73" i="1"/>
  <c r="Q60" i="1"/>
  <c r="Q107" i="1"/>
  <c r="Q111" i="1"/>
  <c r="Q127" i="1"/>
  <c r="Q160" i="1"/>
  <c r="Q31" i="1"/>
  <c r="Q179" i="1"/>
  <c r="Q189" i="1"/>
  <c r="Q167" i="1"/>
  <c r="Q11" i="1"/>
  <c r="Q70" i="1"/>
  <c r="Q220" i="1"/>
  <c r="Q25" i="1"/>
  <c r="Q106" i="1"/>
  <c r="Q12" i="1"/>
  <c r="Q188" i="1"/>
  <c r="Q90" i="1"/>
  <c r="Q197" i="1"/>
  <c r="Q119" i="1"/>
  <c r="Q169" i="1"/>
  <c r="Q180" i="1"/>
  <c r="Q215" i="1"/>
  <c r="Q222" i="1"/>
  <c r="Q84" i="1"/>
  <c r="Q152" i="1"/>
  <c r="Q63" i="1"/>
  <c r="Q201" i="1"/>
  <c r="Q48" i="1"/>
  <c r="Q183" i="1"/>
  <c r="Q230" i="1"/>
  <c r="Q49" i="1"/>
  <c r="Q228" i="1"/>
  <c r="Q227" i="1"/>
  <c r="Q54" i="1"/>
  <c r="Q234" i="1"/>
  <c r="Q176" i="1"/>
  <c r="Q200" i="1"/>
  <c r="Q17" i="1"/>
  <c r="Q187" i="1"/>
  <c r="Q39" i="1"/>
  <c r="Q15" i="1"/>
  <c r="Q4" i="1"/>
  <c r="Q14" i="1"/>
  <c r="Q125" i="1"/>
  <c r="Q20" i="1"/>
  <c r="Q51" i="1"/>
  <c r="Q153" i="1"/>
  <c r="Q214" i="1"/>
  <c r="Q251" i="1"/>
  <c r="Q198" i="1"/>
  <c r="Q69" i="1"/>
  <c r="Q145" i="1"/>
  <c r="Q40" i="1"/>
  <c r="Q117" i="1"/>
  <c r="Q65" i="1"/>
  <c r="Q104" i="1"/>
  <c r="Q121" i="1"/>
  <c r="P156" i="1"/>
  <c r="P24" i="1"/>
  <c r="P140" i="1"/>
  <c r="P213" i="1"/>
  <c r="P44" i="1"/>
  <c r="P241" i="1"/>
  <c r="P93" i="1"/>
  <c r="P194" i="1"/>
  <c r="P136" i="1"/>
  <c r="P139" i="1"/>
  <c r="P186" i="1"/>
  <c r="P247" i="1"/>
  <c r="P210" i="1"/>
  <c r="P231" i="1"/>
  <c r="P192" i="1"/>
  <c r="P68" i="1"/>
  <c r="P135" i="1"/>
  <c r="P50" i="1"/>
  <c r="P123" i="1"/>
  <c r="P223" i="1"/>
  <c r="P232" i="1"/>
  <c r="P240" i="1"/>
  <c r="P205" i="1"/>
  <c r="P243" i="1"/>
  <c r="P72" i="1"/>
  <c r="P5" i="1"/>
  <c r="P236" i="1"/>
  <c r="P41" i="1"/>
  <c r="P64" i="1"/>
  <c r="P30" i="1"/>
  <c r="P242" i="1"/>
  <c r="P195" i="1"/>
  <c r="P131" i="1"/>
  <c r="P42" i="1"/>
  <c r="P233" i="1"/>
  <c r="P22" i="1"/>
  <c r="P246" i="1"/>
  <c r="P16" i="1"/>
  <c r="P203" i="1"/>
  <c r="P43" i="1"/>
  <c r="P118" i="1"/>
  <c r="P129" i="1"/>
  <c r="P209" i="1"/>
  <c r="P235" i="1"/>
  <c r="P122" i="1"/>
  <c r="P221" i="1"/>
  <c r="P94" i="1"/>
  <c r="P89" i="1"/>
  <c r="P116" i="1"/>
  <c r="P155" i="1"/>
  <c r="P45" i="1"/>
  <c r="P151" i="1"/>
  <c r="P62" i="1"/>
  <c r="P26" i="1"/>
  <c r="P8" i="1"/>
  <c r="P79" i="1"/>
  <c r="P105" i="1"/>
  <c r="P185" i="1"/>
  <c r="P128" i="1"/>
  <c r="P97" i="1"/>
  <c r="P193" i="1"/>
  <c r="P71" i="1"/>
  <c r="P53" i="1"/>
  <c r="P114" i="1"/>
  <c r="P115" i="1"/>
  <c r="P87" i="1"/>
  <c r="P137" i="1"/>
  <c r="P19" i="1"/>
  <c r="P142" i="1"/>
  <c r="P98" i="1"/>
  <c r="P217" i="1"/>
  <c r="P170" i="1"/>
  <c r="P132" i="1"/>
  <c r="P163" i="1"/>
  <c r="P245" i="1"/>
  <c r="P7" i="1"/>
  <c r="P216" i="1"/>
  <c r="P81" i="1"/>
  <c r="P229" i="1"/>
  <c r="P3" i="1"/>
  <c r="P158" i="1"/>
  <c r="P218" i="1"/>
  <c r="P250" i="1"/>
  <c r="P66" i="1"/>
  <c r="P177" i="1"/>
  <c r="P102" i="1"/>
  <c r="P206" i="1"/>
  <c r="P21" i="1"/>
  <c r="P76" i="1"/>
  <c r="P99" i="1"/>
  <c r="P248" i="1"/>
  <c r="P28" i="1"/>
  <c r="P141" i="1"/>
  <c r="P32" i="1"/>
  <c r="P133" i="1"/>
  <c r="P237" i="1"/>
  <c r="P38" i="1"/>
  <c r="P2" i="1"/>
  <c r="P171" i="1"/>
  <c r="P59" i="1"/>
  <c r="P249" i="1"/>
  <c r="P75" i="1"/>
  <c r="P100" i="1"/>
  <c r="P226" i="1"/>
  <c r="P101" i="1"/>
  <c r="P143" i="1"/>
  <c r="P113" i="1"/>
  <c r="P162" i="1"/>
  <c r="P109" i="1"/>
  <c r="P212" i="1"/>
  <c r="P6" i="1"/>
  <c r="P55" i="1"/>
  <c r="P196" i="1"/>
  <c r="P112" i="1"/>
  <c r="P78" i="1"/>
  <c r="P124" i="1"/>
  <c r="P178" i="1"/>
  <c r="P120" i="1"/>
  <c r="P182" i="1"/>
  <c r="P130" i="1"/>
  <c r="P175" i="1"/>
  <c r="P147" i="1"/>
  <c r="P204" i="1"/>
  <c r="P56" i="1"/>
  <c r="P219" i="1"/>
  <c r="P86" i="1"/>
  <c r="P159" i="1"/>
  <c r="P174" i="1"/>
  <c r="P190" i="1"/>
  <c r="P35" i="1"/>
  <c r="P191" i="1"/>
  <c r="P80" i="1"/>
  <c r="P10" i="1"/>
  <c r="P96" i="1"/>
  <c r="P168" i="1"/>
  <c r="P154" i="1"/>
  <c r="P58" i="1"/>
  <c r="P18" i="1"/>
  <c r="P61" i="1"/>
  <c r="P110" i="1"/>
  <c r="P91" i="1"/>
  <c r="P77" i="1"/>
  <c r="P173" i="1"/>
  <c r="P36" i="1"/>
  <c r="P211" i="1"/>
  <c r="P150" i="1"/>
  <c r="P34" i="1"/>
  <c r="P74" i="1"/>
  <c r="P161" i="1"/>
  <c r="P149" i="1"/>
  <c r="P146" i="1"/>
  <c r="P13" i="1"/>
  <c r="P207" i="1"/>
  <c r="P134" i="1"/>
  <c r="P95" i="1"/>
  <c r="P46" i="1"/>
  <c r="P202" i="1"/>
  <c r="P138" i="1"/>
  <c r="P67" i="1"/>
  <c r="P83" i="1"/>
  <c r="P37" i="1"/>
  <c r="P181" i="1"/>
  <c r="P199" i="1"/>
  <c r="P33" i="1"/>
  <c r="P82" i="1"/>
  <c r="P225" i="1"/>
  <c r="P29" i="1"/>
  <c r="P184" i="1"/>
  <c r="P164" i="1"/>
  <c r="P47" i="1"/>
  <c r="P9" i="1"/>
  <c r="P165" i="1"/>
  <c r="P172" i="1"/>
  <c r="P144" i="1"/>
  <c r="P166" i="1"/>
  <c r="P157" i="1"/>
  <c r="P148" i="1"/>
  <c r="P208" i="1"/>
  <c r="P57" i="1"/>
  <c r="P27" i="1"/>
  <c r="P92" i="1"/>
  <c r="P238" i="1"/>
  <c r="P126" i="1"/>
  <c r="P224" i="1"/>
  <c r="P244" i="1"/>
  <c r="P85" i="1"/>
  <c r="P239" i="1"/>
  <c r="P23" i="1"/>
  <c r="P103" i="1"/>
  <c r="P88" i="1"/>
  <c r="P108" i="1"/>
  <c r="P52" i="1"/>
  <c r="P73" i="1"/>
  <c r="P60" i="1"/>
  <c r="P107" i="1"/>
  <c r="P111" i="1"/>
  <c r="P127" i="1"/>
  <c r="P160" i="1"/>
  <c r="P31" i="1"/>
  <c r="P179" i="1"/>
  <c r="P189" i="1"/>
  <c r="P167" i="1"/>
  <c r="P11" i="1"/>
  <c r="P70" i="1"/>
  <c r="P220" i="1"/>
  <c r="P25" i="1"/>
  <c r="P106" i="1"/>
  <c r="P12" i="1"/>
  <c r="P188" i="1"/>
  <c r="P90" i="1"/>
  <c r="P197" i="1"/>
  <c r="P119" i="1"/>
  <c r="P169" i="1"/>
  <c r="P180" i="1"/>
  <c r="P215" i="1"/>
  <c r="P222" i="1"/>
  <c r="P84" i="1"/>
  <c r="P152" i="1"/>
  <c r="P63" i="1"/>
  <c r="P201" i="1"/>
  <c r="P48" i="1"/>
  <c r="P183" i="1"/>
  <c r="P230" i="1"/>
  <c r="P49" i="1"/>
  <c r="P228" i="1"/>
  <c r="P227" i="1"/>
  <c r="P54" i="1"/>
  <c r="P234" i="1"/>
  <c r="P176" i="1"/>
  <c r="P200" i="1"/>
  <c r="P17" i="1"/>
  <c r="P187" i="1"/>
  <c r="P39" i="1"/>
  <c r="P15" i="1"/>
  <c r="P4" i="1"/>
  <c r="P14" i="1"/>
  <c r="P125" i="1"/>
  <c r="P20" i="1"/>
  <c r="P51" i="1"/>
  <c r="P153" i="1"/>
  <c r="P214" i="1"/>
  <c r="P251" i="1"/>
  <c r="P198" i="1"/>
  <c r="P69" i="1"/>
  <c r="P145" i="1"/>
  <c r="P40" i="1"/>
  <c r="P117" i="1"/>
  <c r="P65" i="1"/>
  <c r="P104" i="1"/>
  <c r="P121" i="1"/>
  <c r="G6" i="3" l="1"/>
  <c r="G5" i="3"/>
  <c r="G8" i="3"/>
  <c r="G7" i="3"/>
  <c r="O4" i="1"/>
  <c r="O29" i="1"/>
  <c r="O97" i="1"/>
  <c r="O131" i="1"/>
  <c r="O143" i="1"/>
  <c r="O47" i="1"/>
  <c r="O92" i="1"/>
  <c r="O114" i="1"/>
  <c r="O144" i="1"/>
  <c r="O167" i="1"/>
  <c r="O169" i="1"/>
  <c r="O175" i="1"/>
  <c r="O213" i="1"/>
  <c r="O221" i="1"/>
  <c r="O10" i="1"/>
  <c r="O55" i="1"/>
  <c r="O149" i="1"/>
  <c r="O209" i="1"/>
  <c r="O211" i="1"/>
  <c r="O83" i="1"/>
  <c r="O22" i="1"/>
  <c r="O89" i="1"/>
  <c r="O111" i="1"/>
  <c r="O195" i="1"/>
  <c r="O238" i="1"/>
  <c r="O7" i="1"/>
  <c r="O9" i="1"/>
  <c r="O21" i="1"/>
  <c r="O71" i="1"/>
  <c r="O82" i="1"/>
  <c r="O184" i="1"/>
  <c r="O16" i="1"/>
  <c r="O37" i="1"/>
  <c r="O113" i="1"/>
  <c r="O151" i="1"/>
  <c r="O8" i="1"/>
  <c r="O73" i="1"/>
  <c r="O117" i="1"/>
  <c r="O136" i="1"/>
  <c r="O157" i="1"/>
  <c r="O102" i="1"/>
  <c r="O110" i="1"/>
  <c r="O135" i="1"/>
  <c r="O147" i="1"/>
  <c r="O31" i="1"/>
  <c r="O112" i="1"/>
  <c r="O138" i="1"/>
  <c r="O5" i="1"/>
  <c r="O61" i="1"/>
  <c r="O77" i="1"/>
  <c r="O105" i="1"/>
  <c r="O116" i="1"/>
  <c r="O182" i="1"/>
  <c r="O233" i="1"/>
  <c r="O240" i="1"/>
  <c r="O19" i="1"/>
  <c r="O24" i="1"/>
  <c r="O134" i="1"/>
  <c r="O235" i="1"/>
  <c r="O245" i="1"/>
  <c r="O120" i="1"/>
  <c r="O165" i="1"/>
  <c r="O207" i="1"/>
  <c r="O236" i="1"/>
  <c r="O119" i="1"/>
  <c r="O130" i="1"/>
  <c r="O230" i="1"/>
  <c r="O56" i="1"/>
  <c r="O60" i="1"/>
  <c r="O63" i="1"/>
  <c r="O66" i="1"/>
  <c r="O30" i="1"/>
  <c r="O84" i="1"/>
  <c r="O95" i="1"/>
  <c r="O118" i="1"/>
  <c r="O162" i="1"/>
  <c r="O193" i="1"/>
  <c r="O200" i="1"/>
  <c r="O228" i="1"/>
  <c r="O241" i="1"/>
  <c r="O81" i="1"/>
  <c r="O115" i="1"/>
  <c r="O174" i="1"/>
  <c r="O215" i="1"/>
  <c r="O232" i="1"/>
  <c r="O3" i="1"/>
  <c r="O43" i="1"/>
  <c r="O57" i="1"/>
  <c r="O78" i="1"/>
  <c r="O86" i="1"/>
  <c r="O164" i="1"/>
  <c r="O229" i="1"/>
  <c r="O76" i="1"/>
  <c r="O87" i="1"/>
  <c r="O91" i="1"/>
  <c r="O214" i="1"/>
  <c r="O42" i="1"/>
  <c r="O46" i="1"/>
  <c r="O79" i="1"/>
  <c r="O90" i="1"/>
  <c r="O140" i="1"/>
  <c r="O172" i="1"/>
  <c r="O41" i="1"/>
  <c r="O53" i="1"/>
  <c r="O127" i="1"/>
  <c r="O139" i="1"/>
  <c r="O20" i="1"/>
  <c r="O58" i="1"/>
  <c r="O75" i="1"/>
  <c r="O155" i="1"/>
  <c r="O156" i="1"/>
  <c r="O173" i="1"/>
  <c r="O197" i="1"/>
  <c r="O234" i="1"/>
  <c r="O14" i="1"/>
  <c r="O67" i="1"/>
  <c r="O93" i="1"/>
  <c r="O109" i="1"/>
  <c r="O160" i="1"/>
  <c r="O194" i="1"/>
  <c r="O23" i="1"/>
  <c r="O34" i="1"/>
  <c r="O50" i="1"/>
  <c r="O123" i="1"/>
  <c r="O141" i="1"/>
  <c r="O158" i="1"/>
  <c r="O179" i="1"/>
  <c r="O202" i="1"/>
  <c r="O206" i="1"/>
  <c r="O208" i="1"/>
  <c r="O218" i="1"/>
  <c r="O243" i="1"/>
  <c r="O11" i="1"/>
  <c r="O18" i="1"/>
  <c r="O99" i="1"/>
  <c r="O126" i="1"/>
  <c r="O132" i="1"/>
  <c r="O186" i="1"/>
  <c r="O196" i="1"/>
  <c r="O251" i="1"/>
  <c r="O150" i="1"/>
  <c r="O159" i="1"/>
  <c r="O231" i="1"/>
  <c r="O28" i="1"/>
  <c r="O62" i="1"/>
  <c r="O88" i="1"/>
  <c r="O122" i="1"/>
  <c r="O168" i="1"/>
  <c r="O45" i="1"/>
  <c r="O70" i="1"/>
  <c r="O145" i="1"/>
  <c r="O161" i="1"/>
  <c r="O180" i="1"/>
  <c r="O242" i="1"/>
  <c r="O64" i="1"/>
  <c r="O108" i="1"/>
  <c r="O128" i="1"/>
  <c r="O166" i="1"/>
  <c r="O176" i="1"/>
  <c r="O199" i="1"/>
  <c r="O250" i="1"/>
  <c r="O65" i="1"/>
  <c r="O85" i="1"/>
  <c r="O101" i="1"/>
  <c r="O183" i="1"/>
  <c r="O225" i="1"/>
  <c r="O246" i="1"/>
  <c r="O52" i="1"/>
  <c r="O74" i="1"/>
  <c r="O178" i="1"/>
  <c r="O204" i="1"/>
  <c r="O249" i="1"/>
  <c r="O15" i="1"/>
  <c r="O98" i="1"/>
  <c r="O142" i="1"/>
  <c r="O146" i="1"/>
  <c r="O222" i="1"/>
  <c r="O100" i="1"/>
  <c r="O171" i="1"/>
  <c r="O219" i="1"/>
  <c r="O17" i="1"/>
  <c r="O38" i="1"/>
  <c r="O39" i="1"/>
  <c r="O203" i="1"/>
  <c r="O32" i="1"/>
  <c r="O72" i="1"/>
  <c r="O148" i="1"/>
  <c r="O181" i="1"/>
  <c r="O188" i="1"/>
  <c r="O224" i="1"/>
  <c r="O27" i="1"/>
  <c r="O201" i="1"/>
  <c r="O220" i="1"/>
  <c r="O192" i="1"/>
  <c r="O239" i="1"/>
  <c r="O2" i="1"/>
  <c r="O80" i="1"/>
  <c r="O104" i="1"/>
  <c r="O107" i="1"/>
  <c r="O187" i="1"/>
  <c r="O191" i="1"/>
  <c r="O226" i="1"/>
  <c r="O227" i="1"/>
  <c r="O12" i="1"/>
  <c r="O125" i="1"/>
  <c r="O129" i="1"/>
  <c r="O152" i="1"/>
  <c r="O163" i="1"/>
  <c r="O190" i="1"/>
  <c r="O33" i="1"/>
  <c r="O36" i="1"/>
  <c r="O124" i="1"/>
  <c r="O217" i="1"/>
  <c r="O247" i="1"/>
  <c r="O6" i="1"/>
  <c r="O25" i="1"/>
  <c r="O48" i="1"/>
  <c r="O54" i="1"/>
  <c r="O68" i="1"/>
  <c r="O69" i="1"/>
  <c r="O153" i="1"/>
  <c r="O177" i="1"/>
  <c r="O205" i="1"/>
  <c r="O237" i="1"/>
  <c r="O13" i="1"/>
  <c r="O103" i="1"/>
  <c r="O121" i="1"/>
  <c r="O189" i="1"/>
  <c r="O44" i="1"/>
  <c r="O96" i="1"/>
  <c r="O185" i="1"/>
  <c r="O210" i="1"/>
  <c r="O212" i="1"/>
  <c r="O248" i="1"/>
  <c r="O59" i="1"/>
  <c r="O133" i="1"/>
  <c r="O170" i="1"/>
  <c r="O216" i="1"/>
  <c r="O40" i="1"/>
  <c r="O49" i="1"/>
  <c r="O106" i="1"/>
  <c r="O198" i="1"/>
  <c r="O223" i="1"/>
  <c r="O244" i="1"/>
  <c r="O26" i="1"/>
  <c r="O35" i="1"/>
  <c r="O137" i="1"/>
  <c r="O154" i="1"/>
  <c r="O94" i="1"/>
  <c r="O51" i="1"/>
  <c r="B10" i="2"/>
  <c r="B9" i="2"/>
  <c r="B8" i="2"/>
  <c r="B7" i="2"/>
  <c r="B6" i="2"/>
  <c r="B5" i="2"/>
  <c r="B4" i="2"/>
  <c r="B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<sst xmlns="http://schemas.openxmlformats.org/spreadsheetml/2006/main" count="2404" uniqueCount="457">
  <si>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</si>
  <si>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</si>
  <si>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</si>
  <si>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</si>
  <si>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</si>
  <si>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</si>
  <si>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</si>
  <si>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</si>
  <si>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</si>
  <si>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</si>
  <si>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</si>
  <si>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</si>
  <si>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</si>
  <si>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</si>
  <si>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</si>
  <si>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</si>
  <si>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</si>
  <si>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</si>
  <si>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</si>
  <si>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</si>
  <si>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</si>
  <si>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</si>
  <si>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</si>
  <si>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</si>
  <si>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</si>
  <si>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</si>
  <si>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</si>
  <si>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</si>
  <si>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</si>
  <si>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</si>
  <si>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</si>
  <si>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</si>
  <si>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</si>
  <si>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</si>
  <si>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</si>
  <si>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</si>
  <si>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</si>
  <si>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</si>
  <si>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</si>
  <si>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</si>
  <si>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</si>
  <si>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</si>
  <si>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</si>
  <si>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</si>
  <si>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</si>
  <si>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</si>
  <si>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</si>
  <si>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</si>
  <si>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</si>
  <si>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</si>
  <si>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</si>
  <si>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</si>
  <si>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</si>
  <si>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</si>
  <si>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</si>
  <si>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</si>
  <si>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</si>
  <si>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</si>
  <si>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</si>
  <si>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</si>
  <si>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</si>
  <si>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</si>
  <si>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</si>
  <si>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</si>
  <si>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</si>
  <si>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</si>
  <si>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</si>
  <si>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</si>
  <si>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</si>
  <si>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</si>
  <si>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</si>
  <si>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</si>
  <si>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</si>
  <si>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</si>
  <si>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</si>
  <si>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</si>
  <si>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</si>
  <si>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</si>
  <si>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</si>
  <si>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</si>
  <si>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</si>
  <si>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</si>
  <si>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</si>
  <si>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</si>
  <si>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</si>
  <si>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</si>
  <si>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</si>
  <si>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</si>
  <si>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</si>
  <si>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</si>
  <si>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</si>
  <si>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</si>
  <si>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</si>
  <si>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</si>
  <si>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</si>
  <si>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</si>
  <si>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</si>
  <si>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</si>
  <si>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</si>
  <si>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</si>
  <si>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</si>
  <si>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</si>
  <si>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</si>
  <si>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</si>
  <si>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</si>
  <si>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</si>
  <si>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</si>
  <si>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</si>
  <si>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</si>
  <si>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</si>
  <si>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</si>
  <si>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</si>
  <si>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</si>
  <si>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</si>
  <si>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</si>
  <si>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</si>
  <si>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</si>
  <si>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</si>
  <si>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</si>
  <si>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</si>
  <si>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</si>
  <si>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</si>
  <si>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</si>
  <si>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</si>
  <si>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</si>
  <si>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</si>
  <si>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</si>
  <si>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</si>
  <si>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</si>
  <si>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</si>
  <si>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</si>
  <si>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</si>
  <si>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</si>
  <si>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</si>
  <si>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</si>
  <si>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</si>
  <si>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</si>
  <si>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</si>
  <si>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</si>
  <si>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</si>
  <si>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</si>
  <si>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</si>
  <si>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</si>
  <si>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</si>
  <si>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</si>
  <si>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</si>
  <si>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</si>
  <si>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</si>
  <si>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</si>
  <si>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</si>
  <si>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</si>
  <si>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</si>
  <si>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</si>
  <si>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</si>
  <si>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</si>
  <si>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</si>
  <si>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</si>
  <si>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</si>
  <si>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</si>
  <si>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</si>
  <si>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</si>
  <si>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</si>
  <si>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</si>
  <si>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</si>
  <si>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</si>
  <si>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</si>
  <si>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</si>
  <si>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</si>
  <si>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</si>
  <si>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</si>
  <si>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</si>
  <si>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</si>
  <si>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</si>
  <si>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</si>
  <si>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</si>
  <si>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</si>
  <si>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</si>
  <si>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</si>
  <si>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</si>
  <si>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</si>
  <si>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</si>
  <si>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</si>
  <si>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</si>
  <si>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</si>
  <si>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</si>
  <si>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</si>
  <si>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</si>
  <si>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</si>
  <si>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</si>
  <si>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</si>
  <si>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</si>
  <si>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</si>
  <si>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</si>
  <si>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</si>
  <si>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</si>
  <si>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</si>
  <si>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</si>
  <si>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</si>
  <si>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</si>
  <si>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</si>
  <si>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</si>
  <si>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</si>
  <si>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</si>
  <si>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</si>
  <si>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</si>
  <si>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</si>
  <si>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</si>
  <si>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</si>
  <si>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</si>
  <si>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</si>
  <si>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</si>
  <si>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</si>
  <si>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</si>
  <si>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</si>
  <si>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</si>
  <si>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</si>
  <si>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</si>
  <si>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</si>
  <si>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</si>
  <si>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</si>
  <si>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</si>
  <si>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</si>
  <si>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</si>
  <si>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</si>
  <si>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</si>
  <si>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</si>
  <si>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</si>
  <si>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</si>
  <si>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</si>
  <si>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</si>
  <si>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</si>
  <si>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</si>
  <si>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</si>
  <si>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</si>
  <si>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</si>
  <si>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</si>
  <si>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</si>
  <si>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</si>
  <si>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</si>
  <si>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</si>
  <si>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</si>
  <si>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</si>
  <si>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</si>
  <si>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</si>
  <si>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</si>
  <si>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</si>
  <si>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</si>
  <si>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</si>
  <si>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</si>
  <si>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</si>
  <si>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</si>
  <si>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</si>
  <si>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</si>
  <si>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</si>
  <si>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</si>
  <si>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</si>
  <si>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</si>
  <si>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</si>
  <si>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</si>
  <si>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</si>
  <si>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</si>
  <si>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</si>
  <si>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</si>
  <si>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</si>
  <si>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</si>
  <si>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</si>
  <si>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</si>
  <si>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</si>
  <si>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</si>
  <si>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</si>
  <si>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</si>
  <si>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</si>
  <si>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</si>
  <si>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</si>
  <si>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</si>
  <si>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</si>
  <si>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</si>
  <si>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</si>
  <si>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</si>
  <si>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</si>
  <si>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</si>
  <si>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</si>
  <si>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</si>
  <si>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</si>
  <si>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</si>
  <si>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</si>
  <si>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</si>
  <si>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</si>
  <si>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</si>
  <si>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</si>
  <si>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</si>
  <si>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</si>
  <si>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</si>
  <si>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</si>
  <si>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</si>
  <si>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</si>
  <si>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</si>
  <si>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</si>
  <si>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</si>
  <si>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</si>
  <si>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</si>
  <si>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</si>
  <si>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</si>
  <si>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</si>
  <si>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</si>
  <si>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</si>
  <si>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</si>
  <si>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</si>
  <si>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</si>
  <si>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</si>
  <si>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</si>
  <si>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</si>
  <si>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</si>
  <si>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</si>
  <si>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</si>
  <si>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</si>
  <si>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</si>
  <si>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</si>
  <si>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</si>
  <si>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</si>
  <si>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</si>
  <si>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</si>
  <si>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</si>
  <si>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</si>
  <si>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</si>
  <si>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</si>
  <si>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</si>
  <si>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</si>
  <si>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</si>
  <si>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</si>
  <si>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</si>
  <si>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</si>
  <si>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</si>
  <si>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</si>
  <si>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</si>
  <si>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</si>
  <si>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</si>
  <si>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</si>
  <si>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</si>
  <si>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</si>
  <si>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</si>
  <si>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</si>
  <si>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</si>
  <si>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</si>
  <si>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</si>
  <si>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</si>
  <si>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</si>
  <si>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</si>
  <si>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</si>
  <si>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</si>
  <si>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</si>
  <si>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</si>
  <si>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</si>
  <si>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</si>
  <si>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</si>
  <si>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</si>
  <si>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</si>
  <si>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</si>
  <si>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</si>
  <si>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</si>
  <si>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</si>
  <si>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</si>
  <si>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</si>
  <si>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</si>
  <si>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</si>
  <si>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</si>
  <si>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</si>
  <si>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</si>
  <si>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</si>
  <si>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</si>
  <si>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</si>
  <si>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</si>
  <si>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</si>
  <si>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</si>
  <si>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</si>
  <si>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</si>
  <si>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</si>
  <si>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</si>
  <si>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</si>
  <si>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</si>
  <si>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</si>
  <si>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</si>
  <si>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</si>
  <si>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</si>
  <si>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</si>
  <si>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</si>
  <si>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</si>
  <si>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</si>
  <si>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</si>
  <si>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</si>
  <si>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</si>
  <si>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</si>
  <si>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</si>
  <si>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</si>
  <si>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</si>
  <si>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</si>
  <si>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</si>
  <si>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</si>
  <si>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</si>
  <si>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Key Metrics</t>
  </si>
  <si>
    <t>Total Revenue</t>
  </si>
  <si>
    <t>Total Transactions</t>
  </si>
  <si>
    <t>Average Order Value</t>
  </si>
  <si>
    <t>Total Units Sold</t>
  </si>
  <si>
    <t>Unique Customers</t>
  </si>
  <si>
    <t>Unique Products</t>
  </si>
  <si>
    <t>First Order Date</t>
  </si>
  <si>
    <t>Last Order Date</t>
  </si>
  <si>
    <t>Grand Total</t>
  </si>
  <si>
    <t>Sum of Total_Amount</t>
  </si>
  <si>
    <t>Custmore Since</t>
  </si>
  <si>
    <t>2024</t>
  </si>
  <si>
    <t>2025</t>
  </si>
  <si>
    <t>Jan</t>
  </si>
  <si>
    <t>Feb</t>
  </si>
  <si>
    <t>Mar</t>
  </si>
  <si>
    <t>Apr</t>
  </si>
  <si>
    <t>May</t>
  </si>
  <si>
    <t>Jun</t>
  </si>
  <si>
    <t>Jul</t>
  </si>
  <si>
    <t>Aug</t>
  </si>
  <si>
    <t>Sep</t>
  </si>
  <si>
    <t>Oct</t>
  </si>
  <si>
    <t>Nov</t>
  </si>
  <si>
    <t>Dec</t>
  </si>
  <si>
    <t>Customer Type</t>
  </si>
  <si>
    <t>Total Type</t>
  </si>
  <si>
    <t>Customer Name</t>
  </si>
  <si>
    <t>Payment Method</t>
  </si>
  <si>
    <t>Product Name</t>
  </si>
  <si>
    <t xml:space="preserve">Category </t>
  </si>
  <si>
    <t>Months</t>
  </si>
  <si>
    <t>Regression Statistics</t>
  </si>
  <si>
    <t>Multiple R</t>
  </si>
  <si>
    <t>R Square</t>
  </si>
  <si>
    <t>Adjusted R Square</t>
  </si>
  <si>
    <t>Standard Error</t>
  </si>
  <si>
    <t>Observations</t>
  </si>
  <si>
    <t>Month</t>
  </si>
  <si>
    <t>Quaterly</t>
  </si>
  <si>
    <t>Product</t>
  </si>
  <si>
    <t>Price</t>
  </si>
  <si>
    <t>Total Sales</t>
  </si>
  <si>
    <t>Estimated Sales</t>
  </si>
  <si>
    <t>Price Increase</t>
  </si>
  <si>
    <t>What-If Scenario For Total Sales Dipending on Price Increase</t>
  </si>
  <si>
    <t>Total Sales Of Different Item Category By Region</t>
  </si>
  <si>
    <t>Sales And Quantity In Each Month</t>
  </si>
  <si>
    <t>Sales Of Each Item By Region</t>
  </si>
  <si>
    <t>Sales By Customer</t>
  </si>
  <si>
    <t>Total Sales &amp; Quantity By Payement Method</t>
  </si>
  <si>
    <t>Sales &amp; Quantity By Category</t>
  </si>
  <si>
    <t>Sales &amp; Quantity In Each Region</t>
  </si>
  <si>
    <t>Sales</t>
  </si>
  <si>
    <t xml:space="preserve">Quantity </t>
  </si>
  <si>
    <t>Items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</si>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</sst>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numFmt numFmtId="165" formatCode="General\ &quot;Days&quot;"/>
    <numFmt numFmtId="166" formatCode="[$₹-4009]\ #,##0"/>
    <numFmt numFmtId="167" formatCode="dd\-mm\-yyyy"/>
  </numFmts>
  <fonts count="6" x14ac:knownFonts="1">
    <font>
      <sz val="11"/>
      <color theme="1"/>
      <name val="Aptos Narrow"/>
      <family val="2"/>
      <scheme val="minor"/>
    </font>
    <font>
      <b/>
      <sz val="11"/>
      <color theme="1"/>
      <name val="Calibri"/>
      <family val="2"/>
    </font>
    <font>
      <sz val="11"/>
      <color theme="1"/>
      <name val="Calibri"/>
      <family val="2"/>
    </font>
    <font>
      <b/>
      <sz val="11"/>
      <color theme="1"/>
      <name val="Aptos Narrow"/>
      <family val="2"/>
      <scheme val="minor"/>
    </font>
    <font>
      <b/>
      <sz val="14"/>
      <color theme="0"/>
      <name val="Aptos Narrow"/>
      <family val="2"/>
      <scheme val="minor"/>
    </font>
    <font>
      <i/>
      <sz val="11"/>
      <color theme="1"/>
      <name val="Aptos Narrow"/>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9" tint="0.79998168889431442"/>
        <bgColor indexed="64"/>
      </patternFill>
    </fill>
    <fill>
      <patternFill patternType="solid">
        <fgColor theme="7" tint="-0.249977111117893"/>
        <bgColor indexed="64"/>
      </patternFill>
    </fill>
    <fill>
      <patternFill patternType="solid">
        <fgColor theme="4" tint="0.79998168889431442"/>
        <bgColor indexed="64"/>
      </patternFill>
    </fill>
    <fill>
      <patternFill patternType="solid">
        <fgColor rgb="FFF3F7FA"/>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top style="thin">
        <color indexed="64"/>
      </top>
      <bottom/>
      <diagonal/>
    </border>
    <border>
      <left/>
      <right style="thin">
        <color indexed="64"/>
      </right>
      <top/>
      <bottom/>
      <diagonal/>
    </border>
    <border>
      <left style="thin">
        <color indexed="64"/>
      </left>
      <right style="thin">
        <color indexed="64"/>
      </right>
      <top/>
      <bottom/>
      <diagonal/>
    </border>
    <border>
      <left/>
      <right/>
      <top style="thin">
        <color indexed="64"/>
      </top>
      <bottom style="thin">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diagonal/>
    </border>
    <border>
      <left style="double">
        <color indexed="64"/>
      </left>
      <right/>
      <top/>
      <bottom style="double">
        <color indexed="64"/>
      </bottom>
      <diagonal/>
    </border>
    <border>
      <left/>
      <right/>
      <top/>
      <bottom style="double">
        <color indexed="64"/>
      </bottom>
      <diagonal/>
    </border>
    <border>
      <left style="double">
        <color indexed="64"/>
      </left>
      <right/>
      <top/>
      <bottom style="double">
        <color theme="1"/>
      </bottom>
      <diagonal/>
    </border>
    <border>
      <left/>
      <right/>
      <top/>
      <bottom style="double">
        <color theme="1"/>
      </bottom>
      <diagonal/>
    </border>
    <border>
      <left style="thin">
        <color theme="1"/>
      </left>
      <right style="thin">
        <color theme="1"/>
      </right>
      <top style="thin">
        <color theme="1"/>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bottom/>
      <diagonal/>
    </border>
    <border>
      <left/>
      <right style="thin">
        <color theme="1"/>
      </right>
      <top/>
      <bottom style="thin">
        <color theme="1"/>
      </bottom>
      <diagonal/>
    </border>
    <border>
      <left style="thin">
        <color theme="1"/>
      </left>
      <right style="thin">
        <color theme="1"/>
      </right>
      <top/>
      <bottom/>
      <diagonal/>
    </border>
    <border>
      <left/>
      <right style="double">
        <color indexed="64"/>
      </right>
      <top style="double">
        <color theme="1"/>
      </top>
      <bottom/>
      <diagonal/>
    </border>
    <border>
      <left/>
      <right style="double">
        <color indexed="64"/>
      </right>
      <top/>
      <bottom/>
      <diagonal/>
    </border>
    <border>
      <left/>
      <right style="double">
        <color indexed="64"/>
      </right>
      <top/>
      <bottom style="double">
        <color theme="1"/>
      </bottom>
      <diagonal/>
    </border>
    <border>
      <left/>
      <right/>
      <top style="double">
        <color theme="1"/>
      </top>
      <bottom/>
      <diagonal/>
    </border>
    <border>
      <left/>
      <right style="double">
        <color indexed="64"/>
      </right>
      <top/>
      <bottom style="double">
        <color indexed="64"/>
      </bottom>
      <diagonal/>
    </border>
    <border>
      <left/>
      <right style="double">
        <color indexed="64"/>
      </right>
      <top style="double">
        <color indexed="64"/>
      </top>
      <bottom/>
      <diagonal/>
    </border>
  </borders>
  <cellStyleXfs count="1">
    <xf numFmtId="0" fontId="0" fillId="0" borderId="0"/>
  </cellStyleXfs>
  <cellXfs count="112">
    <xf numFmtId="0" fontId="0" fillId="0" borderId="0" xfId="0"/>
    <xf numFmtId="0" fontId="0" fillId="0" borderId="0" xfId="0" applyAlignment="1"/>
    <xf numFmtId="0" fontId="1" fillId="0" borderId="4" xfId="0" applyFont="1" applyBorder="1" applyAlignment="1">
      <alignment vertical="center"/>
    </xf>
    <xf numFmtId="0" fontId="1" fillId="0" borderId="5" xfId="0" applyFont="1" applyBorder="1" applyAlignment="1">
      <alignment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164" fontId="1" fillId="0" borderId="5" xfId="0" applyNumberFormat="1" applyFont="1" applyBorder="1" applyAlignment="1">
      <alignment vertical="center"/>
    </xf>
    <xf numFmtId="164" fontId="2" fillId="0" borderId="1" xfId="0" applyNumberFormat="1" applyFont="1" applyBorder="1" applyAlignment="1">
      <alignment horizontal="center" vertical="center" wrapText="1"/>
    </xf>
    <xf numFmtId="164" fontId="2" fillId="0" borderId="8" xfId="0" applyNumberFormat="1" applyFont="1" applyBorder="1" applyAlignment="1">
      <alignment horizontal="center" vertical="center" wrapText="1"/>
    </xf>
    <xf numFmtId="164" fontId="0" fillId="0" borderId="0" xfId="0" applyNumberFormat="1"/>
    <xf numFmtId="164" fontId="1" fillId="0" borderId="6" xfId="0" applyNumberFormat="1" applyFont="1" applyBorder="1" applyAlignment="1">
      <alignment vertical="center"/>
    </xf>
    <xf numFmtId="164" fontId="2" fillId="0" borderId="3" xfId="0" applyNumberFormat="1" applyFont="1" applyBorder="1" applyAlignment="1">
      <alignment horizontal="center" vertical="center" wrapText="1"/>
    </xf>
    <xf numFmtId="164" fontId="2" fillId="0" borderId="9" xfId="0" applyNumberFormat="1" applyFont="1" applyBorder="1" applyAlignment="1">
      <alignment horizontal="center" vertical="center" wrapText="1"/>
    </xf>
    <xf numFmtId="0" fontId="0" fillId="0" borderId="1" xfId="0" applyBorder="1" applyAlignment="1">
      <alignment horizontal="center" vertical="center"/>
    </xf>
    <xf numFmtId="165" fontId="2" fillId="0" borderId="5" xfId="0" applyNumberFormat="1" applyFont="1" applyBorder="1" applyAlignment="1">
      <alignment horizontal="center" vertical="center" wrapText="1"/>
    </xf>
    <xf numFmtId="0" fontId="0" fillId="0" borderId="0" xfId="0" applyBorder="1"/>
    <xf numFmtId="0" fontId="0" fillId="0" borderId="1" xfId="0" pivotButton="1" applyBorder="1" applyAlignment="1">
      <alignment horizontal="center" vertical="center"/>
    </xf>
    <xf numFmtId="0" fontId="0" fillId="0" borderId="10"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3" xfId="0" applyBorder="1" applyAlignment="1">
      <alignment horizontal="center" vertical="center"/>
    </xf>
    <xf numFmtId="166"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0" fillId="0" borderId="13" xfId="0" applyNumberFormat="1" applyBorder="1" applyAlignment="1">
      <alignment horizontal="center" vertical="center"/>
    </xf>
    <xf numFmtId="166" fontId="0" fillId="0" borderId="13" xfId="0" applyNumberFormat="1" applyBorder="1" applyAlignment="1">
      <alignment horizontal="center" vertical="center"/>
    </xf>
    <xf numFmtId="0" fontId="0" fillId="0" borderId="3" xfId="0" pivotButton="1" applyBorder="1" applyAlignment="1">
      <alignment horizontal="center" vertical="center"/>
    </xf>
    <xf numFmtId="0" fontId="0" fillId="0" borderId="0" xfId="0" applyBorder="1" applyAlignment="1">
      <alignment vertical="center"/>
    </xf>
    <xf numFmtId="0" fontId="0" fillId="0" borderId="0" xfId="0" applyBorder="1" applyAlignment="1">
      <alignment horizontal="center" vertical="center"/>
    </xf>
    <xf numFmtId="166" fontId="0" fillId="0" borderId="10" xfId="0" applyNumberFormat="1" applyBorder="1" applyAlignment="1">
      <alignment horizontal="center" vertical="center"/>
    </xf>
    <xf numFmtId="0" fontId="0" fillId="0" borderId="5" xfId="0" applyBorder="1" applyAlignment="1">
      <alignment horizontal="center" vertical="center"/>
    </xf>
    <xf numFmtId="166" fontId="0" fillId="0" borderId="3" xfId="0" applyNumberFormat="1" applyBorder="1" applyAlignment="1">
      <alignment horizontal="center" vertical="center"/>
    </xf>
    <xf numFmtId="0" fontId="0" fillId="0" borderId="10" xfId="0" applyBorder="1" applyAlignment="1">
      <alignment horizontal="center" vertical="center" indent="1"/>
    </xf>
    <xf numFmtId="167" fontId="2" fillId="0" borderId="1" xfId="0" applyNumberFormat="1" applyFont="1" applyBorder="1" applyAlignment="1">
      <alignment horizontal="center" vertical="center" wrapText="1"/>
    </xf>
    <xf numFmtId="167" fontId="2" fillId="0" borderId="8" xfId="0" applyNumberFormat="1" applyFont="1" applyBorder="1" applyAlignment="1">
      <alignment horizontal="center" vertical="center" wrapText="1"/>
    </xf>
    <xf numFmtId="0" fontId="0" fillId="0" borderId="9" xfId="0" pivotButton="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166" fontId="0" fillId="0" borderId="9" xfId="0" applyNumberFormat="1" applyBorder="1" applyAlignment="1">
      <alignment horizontal="center" vertical="center"/>
    </xf>
    <xf numFmtId="166" fontId="0" fillId="0" borderId="11" xfId="0" applyNumberFormat="1" applyBorder="1" applyAlignment="1">
      <alignment horizontal="center" vertical="center"/>
    </xf>
    <xf numFmtId="0" fontId="0" fillId="0" borderId="8" xfId="0" applyBorder="1" applyAlignment="1">
      <alignment horizontal="center" vertical="center"/>
    </xf>
    <xf numFmtId="166" fontId="0" fillId="0" borderId="8" xfId="0" applyNumberFormat="1" applyBorder="1" applyAlignment="1">
      <alignment horizontal="center" vertical="center"/>
    </xf>
    <xf numFmtId="0" fontId="0" fillId="0" borderId="9" xfId="0" pivotButton="1" applyBorder="1" applyAlignment="1">
      <alignment horizontal="left" vertical="center"/>
    </xf>
    <xf numFmtId="167" fontId="1" fillId="0" borderId="5" xfId="0" applyNumberFormat="1" applyFont="1" applyBorder="1" applyAlignment="1">
      <alignment vertical="center"/>
    </xf>
    <xf numFmtId="167" fontId="0" fillId="0" borderId="0" xfId="0" applyNumberFormat="1"/>
    <xf numFmtId="164" fontId="0" fillId="0" borderId="0" xfId="0" applyNumberFormat="1" applyBorder="1" applyAlignment="1">
      <alignment horizontal="center" vertical="center"/>
    </xf>
    <xf numFmtId="167" fontId="0" fillId="0" borderId="0" xfId="0" applyNumberFormat="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0" fillId="0" borderId="3" xfId="0" pivotButton="1" applyBorder="1" applyAlignment="1">
      <alignment horizontal="left" vertical="center"/>
    </xf>
    <xf numFmtId="0" fontId="0" fillId="0" borderId="0" xfId="0" applyFill="1" applyBorder="1" applyAlignment="1"/>
    <xf numFmtId="0" fontId="0" fillId="0" borderId="0" xfId="0" applyAlignment="1">
      <alignment horizontal="center"/>
    </xf>
    <xf numFmtId="0" fontId="1" fillId="0" borderId="1" xfId="0" applyFont="1" applyBorder="1" applyAlignment="1">
      <alignment vertical="center"/>
    </xf>
    <xf numFmtId="0" fontId="1" fillId="0" borderId="1" xfId="0" applyFont="1" applyBorder="1" applyAlignment="1">
      <alignment horizontal="center" vertical="center"/>
    </xf>
    <xf numFmtId="0" fontId="0" fillId="0" borderId="1" xfId="0" applyBorder="1" applyAlignment="1">
      <alignment horizontal="center"/>
    </xf>
    <xf numFmtId="0" fontId="0" fillId="0" borderId="0" xfId="0" applyBorder="1" applyAlignment="1">
      <alignment horizontal="center"/>
    </xf>
    <xf numFmtId="0" fontId="0" fillId="0" borderId="0" xfId="0" applyAlignment="1">
      <alignment horizontal="center" vertical="center"/>
    </xf>
    <xf numFmtId="0" fontId="4" fillId="0" borderId="0" xfId="0" applyFont="1" applyFill="1" applyBorder="1" applyAlignment="1"/>
    <xf numFmtId="0" fontId="0" fillId="0" borderId="6" xfId="0" applyBorder="1" applyAlignment="1">
      <alignment horizontal="center" vertical="center"/>
    </xf>
    <xf numFmtId="166" fontId="0" fillId="0" borderId="13" xfId="0" applyNumberFormat="1" applyFont="1" applyBorder="1" applyAlignment="1">
      <alignment horizontal="center" vertical="center"/>
    </xf>
    <xf numFmtId="166" fontId="0" fillId="0" borderId="5" xfId="0" applyNumberFormat="1" applyBorder="1" applyAlignment="1">
      <alignment horizontal="center" vertical="center"/>
    </xf>
    <xf numFmtId="166" fontId="0" fillId="0" borderId="0" xfId="0" applyNumberFormat="1" applyBorder="1" applyAlignment="1">
      <alignment horizontal="center" vertical="center"/>
    </xf>
    <xf numFmtId="166" fontId="0" fillId="0" borderId="14" xfId="0" applyNumberFormat="1" applyBorder="1" applyAlignment="1">
      <alignment horizontal="center" vertical="center"/>
    </xf>
    <xf numFmtId="0" fontId="4" fillId="0" borderId="0" xfId="0" applyFont="1" applyFill="1" applyBorder="1" applyAlignment="1">
      <alignment horizontal="center"/>
    </xf>
    <xf numFmtId="0" fontId="4" fillId="0" borderId="12" xfId="0" applyFont="1" applyFill="1" applyBorder="1" applyAlignment="1">
      <alignment horizontal="center"/>
    </xf>
    <xf numFmtId="0" fontId="5" fillId="0" borderId="0" xfId="0" applyFont="1" applyFill="1" applyBorder="1" applyAlignment="1">
      <alignment horizontal="center"/>
    </xf>
    <xf numFmtId="0" fontId="3" fillId="5" borderId="22" xfId="0" applyFont="1" applyFill="1" applyBorder="1" applyAlignment="1">
      <alignment horizontal="center" vertical="center"/>
    </xf>
    <xf numFmtId="0" fontId="3" fillId="5" borderId="24" xfId="0" applyFont="1" applyFill="1" applyBorder="1" applyAlignment="1">
      <alignment horizontal="center" vertical="center"/>
    </xf>
    <xf numFmtId="0" fontId="3" fillId="0" borderId="27" xfId="0" applyFont="1" applyFill="1" applyBorder="1" applyAlignment="1">
      <alignment horizontal="center" vertical="center"/>
    </xf>
    <xf numFmtId="0" fontId="0" fillId="0" borderId="25" xfId="0" applyFill="1" applyBorder="1" applyAlignment="1">
      <alignment horizontal="center" vertical="center"/>
    </xf>
    <xf numFmtId="0" fontId="3" fillId="0" borderId="23" xfId="0" applyFont="1" applyFill="1" applyBorder="1" applyAlignment="1">
      <alignment horizontal="center" vertical="center"/>
    </xf>
    <xf numFmtId="0" fontId="0" fillId="0" borderId="26" xfId="0" applyFill="1" applyBorder="1" applyAlignment="1">
      <alignment horizontal="center" vertical="center"/>
    </xf>
    <xf numFmtId="0" fontId="4" fillId="4" borderId="3" xfId="0" applyFont="1" applyFill="1" applyBorder="1" applyAlignment="1">
      <alignment horizontal="center"/>
    </xf>
    <xf numFmtId="0" fontId="4" fillId="4" borderId="14" xfId="0" applyFont="1" applyFill="1" applyBorder="1" applyAlignment="1">
      <alignment horizontal="center"/>
    </xf>
    <xf numFmtId="0" fontId="4" fillId="4" borderId="2" xfId="0" applyFont="1" applyFill="1" applyBorder="1" applyAlignment="1">
      <alignment horizontal="center"/>
    </xf>
    <xf numFmtId="0" fontId="4" fillId="4" borderId="9" xfId="0" applyFont="1" applyFill="1" applyBorder="1" applyAlignment="1">
      <alignment horizontal="center" vertical="center"/>
    </xf>
    <xf numFmtId="0" fontId="4" fillId="4" borderId="7" xfId="0" applyFont="1" applyFill="1" applyBorder="1" applyAlignment="1">
      <alignment horizontal="center" vertical="center"/>
    </xf>
    <xf numFmtId="0" fontId="4" fillId="4" borderId="1" xfId="0" applyFont="1" applyFill="1" applyBorder="1" applyAlignment="1">
      <alignment horizontal="center"/>
    </xf>
    <xf numFmtId="0" fontId="3" fillId="3" borderId="3" xfId="0" applyFont="1" applyFill="1" applyBorder="1" applyAlignment="1">
      <alignment horizontal="center" vertical="center"/>
    </xf>
    <xf numFmtId="0" fontId="3"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3" xfId="0" applyFont="1" applyBorder="1" applyAlignment="1">
      <alignment horizontal="center" vertical="center"/>
    </xf>
    <xf numFmtId="0" fontId="3" fillId="2" borderId="8" xfId="0" applyFont="1" applyFill="1" applyBorder="1" applyAlignment="1">
      <alignment horizontal="center" vertical="center"/>
    </xf>
    <xf numFmtId="0" fontId="3" fillId="2" borderId="8" xfId="0" applyFont="1" applyFill="1" applyBorder="1"/>
    <xf numFmtId="164" fontId="0" fillId="0" borderId="7" xfId="0" applyNumberFormat="1" applyBorder="1" applyAlignment="1">
      <alignment horizontal="center" vertical="center"/>
    </xf>
    <xf numFmtId="164" fontId="0" fillId="0" borderId="12" xfId="0" applyNumberFormat="1" applyBorder="1" applyAlignment="1">
      <alignment horizontal="center" vertical="center"/>
    </xf>
    <xf numFmtId="164" fontId="0" fillId="0" borderId="4" xfId="0" applyNumberFormat="1" applyBorder="1" applyAlignment="1">
      <alignment horizontal="center" vertical="center"/>
    </xf>
    <xf numFmtId="164" fontId="0" fillId="0" borderId="8" xfId="0" applyNumberFormat="1" applyBorder="1" applyAlignment="1">
      <alignment horizontal="center" vertical="center"/>
    </xf>
    <xf numFmtId="164" fontId="0" fillId="0" borderId="13" xfId="0" applyNumberFormat="1" applyBorder="1" applyAlignment="1">
      <alignment horizontal="center" vertical="center"/>
    </xf>
    <xf numFmtId="164" fontId="0" fillId="0" borderId="5" xfId="0" applyNumberFormat="1" applyBorder="1" applyAlignment="1">
      <alignment horizontal="center" vertical="center"/>
    </xf>
    <xf numFmtId="0" fontId="3" fillId="0" borderId="6" xfId="0" applyFont="1" applyBorder="1" applyAlignment="1">
      <alignment horizontal="center" vertical="center"/>
    </xf>
    <xf numFmtId="0" fontId="3" fillId="3" borderId="11" xfId="0" applyFont="1" applyFill="1" applyBorder="1" applyAlignment="1">
      <alignment horizontal="center" vertical="center"/>
    </xf>
    <xf numFmtId="0" fontId="3" fillId="3" borderId="7" xfId="0" applyFont="1" applyFill="1" applyBorder="1" applyAlignment="1">
      <alignment horizontal="center" vertical="center"/>
    </xf>
    <xf numFmtId="9" fontId="3" fillId="0" borderId="13" xfId="0" applyNumberFormat="1" applyFont="1" applyBorder="1" applyAlignment="1">
      <alignment horizontal="center" vertical="center"/>
    </xf>
    <xf numFmtId="9" fontId="3" fillId="0" borderId="5" xfId="0" applyNumberFormat="1" applyFont="1" applyBorder="1" applyAlignment="1">
      <alignment horizontal="center" vertical="center"/>
    </xf>
    <xf numFmtId="0" fontId="0" fillId="6" borderId="15" xfId="0" applyFill="1" applyBorder="1"/>
    <xf numFmtId="0" fontId="0" fillId="6" borderId="16" xfId="0" applyFill="1" applyBorder="1"/>
    <xf numFmtId="0" fontId="0" fillId="6" borderId="0" xfId="0" applyFill="1" applyBorder="1"/>
    <xf numFmtId="0" fontId="0" fillId="6" borderId="0" xfId="0" applyFill="1"/>
    <xf numFmtId="0" fontId="0" fillId="6" borderId="17" xfId="0" applyFill="1" applyBorder="1"/>
    <xf numFmtId="0" fontId="0" fillId="6" borderId="18" xfId="0" applyFill="1" applyBorder="1"/>
    <xf numFmtId="0" fontId="0" fillId="6" borderId="19" xfId="0" applyFill="1" applyBorder="1"/>
    <xf numFmtId="0" fontId="0" fillId="6" borderId="20" xfId="0" applyFill="1" applyBorder="1"/>
    <xf numFmtId="0" fontId="0" fillId="6" borderId="21" xfId="0" applyFill="1" applyBorder="1"/>
    <xf numFmtId="0" fontId="0" fillId="6" borderId="28" xfId="0" applyFill="1" applyBorder="1"/>
    <xf numFmtId="0" fontId="0" fillId="6" borderId="29" xfId="0" applyFill="1" applyBorder="1"/>
    <xf numFmtId="0" fontId="0" fillId="6" borderId="30" xfId="0" applyFill="1" applyBorder="1"/>
    <xf numFmtId="0" fontId="0" fillId="6" borderId="31" xfId="0" applyFill="1" applyBorder="1"/>
    <xf numFmtId="0" fontId="0" fillId="6" borderId="32" xfId="0" applyFill="1" applyBorder="1"/>
    <xf numFmtId="0" fontId="0" fillId="6" borderId="33" xfId="0" applyFill="1" applyBorder="1"/>
  </cellXfs>
  <cellStyles count="1">
    <cellStyle name="Normal" xfId="0" builtinId="0"/>
  </cellStyles>
  <dxfs count="371">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1"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7"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7"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indexed="64"/>
        </right>
        <top/>
        <bottom/>
        <vertical/>
        <horizontal/>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right style="thin">
          <color indexed="64"/>
        </right>
        <top/>
        <bottom/>
      </border>
    </dxf>
    <dxf>
      <border outline="0">
        <left style="thin">
          <color indexed="64"/>
        </left>
        <right style="thin">
          <color indexed="64"/>
        </right>
        <top style="thin">
          <color indexed="64"/>
        </top>
        <bottom style="thin">
          <color indexed="64"/>
        </bottom>
      </border>
    </dxf>
    <dxf>
      <border>
        <top style="thin">
          <color indexed="64"/>
        </top>
        <bottom style="thin">
          <color indexed="64"/>
        </bottom>
      </border>
    </dxf>
    <dxf>
      <alignment horizontal="left"/>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vertical="center"/>
    </dxf>
    <dxf>
      <border>
        <top style="thin">
          <color indexed="64"/>
        </top>
        <bottom style="thin">
          <color indexed="64"/>
        </bottom>
      </border>
    </dxf>
    <dxf>
      <numFmt numFmtId="0" formatCode="General"/>
    </dxf>
    <dxf>
      <border>
        <top style="thin">
          <color indexed="64"/>
        </top>
        <bottom style="thin">
          <color indexed="64"/>
        </bottom>
      </border>
    </dxf>
    <dxf>
      <border>
        <top style="thin">
          <color indexed="64"/>
        </top>
        <bottom style="thin">
          <color indexed="64"/>
        </bottom>
      </border>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ttom style="thin">
          <color indexed="64"/>
        </bottom>
      </border>
    </dxf>
    <dxf>
      <border>
        <top style="thin">
          <color indexed="64"/>
        </top>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val="0"/>
      </font>
    </dxf>
    <dxf>
      <border>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border>
        <left style="thin">
          <color indexed="64"/>
        </left>
      </border>
    </dxf>
    <dxf>
      <border>
        <left style="thin">
          <color indexed="64"/>
        </left>
      </border>
    </dxf>
    <dxf>
      <border>
        <right style="thin">
          <color indexed="64"/>
        </right>
      </border>
    </dxf>
    <dxf>
      <border>
        <top style="thin">
          <color indexed="64"/>
        </top>
        <bottom style="thin">
          <color indexed="64"/>
        </bottom>
      </border>
    </dxf>
    <dxf>
      <border>
        <top style="thin">
          <color indexed="64"/>
        </top>
        <bottom style="thin">
          <color indexed="64"/>
        </bottom>
      </border>
    </dxf>
    <dxf>
      <numFmt numFmtId="0" formatCode="General"/>
    </dxf>
    <dxf>
      <numFmt numFmtId="166" formatCode="[$₹-4009]\ #,##0"/>
    </dxf>
    <dxf>
      <numFmt numFmtId="0" formatCode="General"/>
    </dxf>
    <dxf>
      <border>
        <right style="thin">
          <color indexed="64"/>
        </right>
      </border>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border>
    </dxf>
    <dxf>
      <border>
        <left style="thin">
          <color indexed="64"/>
        </left>
      </border>
    </dxf>
    <dxf>
      <border>
        <vertical style="thin">
          <color indexed="64"/>
        </vertical>
        <horizontal style="thin">
          <color indexed="64"/>
        </horizontal>
      </border>
    </dxf>
    <dxf>
      <border>
        <top style="thin">
          <color indexed="64"/>
        </top>
        <vertical style="thin">
          <color indexed="64"/>
        </vertical>
        <horizontal style="thin">
          <color indexed="64"/>
        </horizontal>
      </border>
    </dxf>
    <dxf>
      <alignment horizontal="cent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border>
    </dxf>
    <dxf>
      <border>
        <right style="thin">
          <color indexed="64"/>
        </right>
        <top style="thin">
          <color indexed="64"/>
        </top>
      </border>
    </dxf>
    <dxf>
      <border>
        <left style="thin">
          <color indexed="64"/>
        </left>
        <right style="thin">
          <color indexed="64"/>
        </right>
      </border>
    </dxf>
    <dxf>
      <border>
        <left style="thin">
          <color indexed="64"/>
        </left>
      </border>
    </dxf>
    <dxf>
      <border>
        <left style="thin">
          <color indexed="64"/>
        </left>
      </border>
    </dxf>
    <dxf>
      <border>
        <top style="thin">
          <color indexed="64"/>
        </top>
        <bottom style="thin">
          <color indexed="64"/>
        </bottom>
      </border>
    </dxf>
    <dxf>
      <border>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alignment horizontal="left"/>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left style="thin">
          <color indexed="64"/>
        </left>
        <right style="thin">
          <color indexed="64"/>
        </right>
      </border>
    </dxf>
    <dxf>
      <border>
        <top style="thin">
          <color indexed="64"/>
        </top>
        <bottom style="thin">
          <color indexed="64"/>
        </bottom>
      </border>
    </dxf>
    <dxf>
      <border>
        <top style="thin">
          <color indexed="64"/>
        </top>
        <bottom style="thin">
          <color indexed="64"/>
        </bottom>
      </border>
    </dxf>
    <dxf>
      <border>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thin">
          <color indexed="64"/>
        </top>
        <bottom style="thin">
          <color indexed="64"/>
        </bottom>
      </border>
    </dxf>
    <dxf>
      <border>
        <left style="thin">
          <color indexed="64"/>
        </left>
      </border>
    </dxf>
    <dxf>
      <border>
        <left style="thin">
          <color indexed="64"/>
        </left>
      </border>
    </dxf>
    <dxf>
      <border>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border>
        <left style="thick">
          <color auto="1"/>
        </left>
        <right style="thick">
          <color auto="1"/>
        </right>
        <top style="thick">
          <color auto="1"/>
        </top>
        <bottom style="thick">
          <color auto="1"/>
        </bottom>
      </border>
    </dxf>
  </dxfs>
  <tableStyles count="2" defaultTableStyle="TableStyleMedium2" defaultPivotStyle="PivotStyleLight16">
    <tableStyle name="Slicer Style 1" pivot="0" table="0" count="2" xr9:uid="{E23253ED-FD91-4374-A121-4E5B582236F7}">
      <tableStyleElement type="wholeTable" dxfId="370"/>
    </tableStyle>
    <tableStyle name="Timeline Style 1" pivot="0" table="0" count="8" xr9:uid="{23751452-25BB-432C-9ECB-4F254B561E84}">
      <tableStyleElement type="wholeTable" dxfId="369"/>
      <tableStyleElement type="headerRow" dxfId="368"/>
    </tableStyle>
  </tableStyles>
  <colors>
    <mruColors>
      <color rgb="FFD9EFF9"/>
      <color rgb="FFF3F7FA"/>
      <color rgb="FFFEFDC3"/>
    </mruColors>
  </colors>
  <extLst>
    <ext xmlns:x14="http://schemas.microsoft.com/office/spreadsheetml/2009/9/main" uri="{46F421CA-312F-682f-3DD2-61675219B42D}">
      <x14:dxfs count="1">
        <dxf>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[Customer_sales.xlsx]Analysis!PivotTable3</c:name>
    <c:fmtId val="6"/>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a:t>
            </a:r>
            <a:r>
              <a:rPr lang="en-US" baseline="0"/>
              <a:t> / Month</a:t>
            </a:r>
          </a:p>
        </c:rich>
      </c:tx>
      <c:layout>
        <c:manualLayout>
          <c:xMode val="edge"/>
          <c:yMode val="edge"/>
          <c:x val="0.40663448707727623"/>
          <c:y val="4.527564453206747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Analysis!$B$14</c:f>
              <c:strCache>
                <c:ptCount val="1"/>
                <c:pt idx="0">
                  <c:v>Total</c:v>
                </c:pt>
              </c:strCache>
            </c:strRef>
          </c:tx>
          <c:spPr>
            <a:solidFill>
              <a:schemeClr val="accent1"/>
            </a:solidFill>
            <a:ln>
              <a:noFill/>
            </a:ln>
            <a:effectLst/>
            <a:sp3d/>
          </c:spPr>
          <c:invertIfNegative val="0"/>
          <c:cat>
            <c:multiLvlStrRef>
              <c:f>Analysis!$A$15:$A$30</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Analysis!$B$15:$B$30</c:f>
              <c:numCache>
                <c:formatCode>[$₹-4009]\ #,##0</c:formatCode>
                <c:ptCount val="13"/>
                <c:pt idx="0">
                  <c:v>20919.330000000005</c:v>
                </c:pt>
                <c:pt idx="1">
                  <c:v>17039.349999999999</c:v>
                </c:pt>
                <c:pt idx="2">
                  <c:v>19299.45</c:v>
                </c:pt>
                <c:pt idx="3">
                  <c:v>18479.399999999998</c:v>
                </c:pt>
                <c:pt idx="4">
                  <c:v>15759.43</c:v>
                </c:pt>
                <c:pt idx="5">
                  <c:v>12989.509999999998</c:v>
                </c:pt>
                <c:pt idx="6">
                  <c:v>20609.519999999997</c:v>
                </c:pt>
                <c:pt idx="7">
                  <c:v>12309.439999999999</c:v>
                </c:pt>
                <c:pt idx="8">
                  <c:v>23039.300000000003</c:v>
                </c:pt>
                <c:pt idx="9">
                  <c:v>25799.15</c:v>
                </c:pt>
                <c:pt idx="10">
                  <c:v>16069.379999999997</c:v>
                </c:pt>
                <c:pt idx="11">
                  <c:v>19899.38</c:v>
                </c:pt>
                <c:pt idx="12">
                  <c:v>6979.829999999999</c:v>
                </c:pt>
              </c:numCache>
            </c:numRef>
          </c:val>
          <c:extLst>
            <c:ext xmlns:c16="http://schemas.microsoft.com/office/drawing/2014/chart" uri="{C3380CC4-5D6E-409C-BE32-E72D297353CC}">
              <c16:uniqueId val="{00000000-10DE-40B3-A301-83D65F7DC7D5}"/>
            </c:ext>
          </c:extLst>
        </c:ser>
        <c:dLbls>
          <c:showLegendKey val="0"/>
          <c:showVal val="0"/>
          <c:showCatName val="0"/>
          <c:showSerName val="0"/>
          <c:showPercent val="0"/>
          <c:showBubbleSize val="0"/>
        </c:dLbls>
        <c:gapWidth val="150"/>
        <c:shape val="box"/>
        <c:axId val="1862867967"/>
        <c:axId val="1862872287"/>
        <c:axId val="0"/>
      </c:bar3DChart>
      <c:catAx>
        <c:axId val="1862867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862872287"/>
        <c:crosses val="autoZero"/>
        <c:auto val="1"/>
        <c:lblAlgn val="ctr"/>
        <c:lblOffset val="100"/>
        <c:noMultiLvlLbl val="0"/>
      </c:catAx>
      <c:valAx>
        <c:axId val="1862872287"/>
        <c:scaling>
          <c:orientation val="minMax"/>
        </c:scaling>
        <c:delete val="0"/>
        <c:axPos val="l"/>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862867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[Customer_sales.xlsx]Analysis!PivotTable6</c:name>
    <c:fmtId val="3"/>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Product</a:t>
            </a:r>
            <a:r>
              <a:rPr lang="en-US" baseline="0"/>
              <a:t> Category</a:t>
            </a:r>
            <a:r>
              <a:rPr lang="en-US"/>
              <a:t> / Region</a:t>
            </a:r>
          </a:p>
        </c:rich>
      </c:tx>
      <c:layout>
        <c:manualLayout>
          <c:xMode val="edge"/>
          <c:yMode val="edge"/>
          <c:x val="0.32028336790561879"/>
          <c:y val="2.295760628691781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Analysis!$I$3:$I$4</c:f>
              <c:strCache>
                <c:ptCount val="1"/>
                <c:pt idx="0">
                  <c:v>Electronics</c:v>
                </c:pt>
              </c:strCache>
            </c:strRef>
          </c:tx>
          <c:spPr>
            <a:solidFill>
              <a:schemeClr val="accent1"/>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Analysis!$I$5:$I$10</c:f>
              <c:numCache>
                <c:formatCode>[$₹-4009]\ #,##0</c:formatCode>
                <c:ptCount val="5"/>
                <c:pt idx="0">
                  <c:v>50649.009999999995</c:v>
                </c:pt>
                <c:pt idx="1">
                  <c:v>39239.040000000008</c:v>
                </c:pt>
                <c:pt idx="2">
                  <c:v>31429.350000000006</c:v>
                </c:pt>
                <c:pt idx="3">
                  <c:v>24889.329999999998</c:v>
                </c:pt>
                <c:pt idx="4">
                  <c:v>25549.319999999992</c:v>
                </c:pt>
              </c:numCache>
            </c:numRef>
          </c:val>
          <c:extLst>
            <c:ext xmlns:c16="http://schemas.microsoft.com/office/drawing/2014/chart" uri="{C3380CC4-5D6E-409C-BE32-E72D297353CC}">
              <c16:uniqueId val="{00000000-14E7-4932-A2AD-C8320967967B}"/>
            </c:ext>
          </c:extLst>
        </c:ser>
        <c:ser>
          <c:idx val="1"/>
          <c:order val="1"/>
          <c:tx>
            <c:strRef>
              <c:f>Analysis!$J$3:$J$4</c:f>
              <c:strCache>
                <c:ptCount val="1"/>
                <c:pt idx="0">
                  <c:v>Furniture</c:v>
                </c:pt>
              </c:strCache>
            </c:strRef>
          </c:tx>
          <c:spPr>
            <a:solidFill>
              <a:schemeClr val="accent2"/>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Analysis!$J$5:$J$10</c:f>
              <c:numCache>
                <c:formatCode>[$₹-4009]\ #,##0</c:formatCode>
                <c:ptCount val="5"/>
                <c:pt idx="0">
                  <c:v>6399.7099999999991</c:v>
                </c:pt>
                <c:pt idx="1">
                  <c:v>10449.43</c:v>
                </c:pt>
                <c:pt idx="2">
                  <c:v>8099.64</c:v>
                </c:pt>
                <c:pt idx="3">
                  <c:v>14399.3</c:v>
                </c:pt>
                <c:pt idx="4">
                  <c:v>9749.6000000000022</c:v>
                </c:pt>
              </c:numCache>
            </c:numRef>
          </c:val>
          <c:extLst>
            <c:ext xmlns:c16="http://schemas.microsoft.com/office/drawing/2014/chart" uri="{C3380CC4-5D6E-409C-BE32-E72D297353CC}">
              <c16:uniqueId val="{00000001-05C4-44FD-9FB5-666D566869DF}"/>
            </c:ext>
          </c:extLst>
        </c:ser>
        <c:ser>
          <c:idx val="2"/>
          <c:order val="2"/>
          <c:tx>
            <c:strRef>
              <c:f>Analysis!$K$3:$K$4</c:f>
              <c:strCache>
                <c:ptCount val="1"/>
                <c:pt idx="0">
                  <c:v>Appliances</c:v>
                </c:pt>
              </c:strCache>
            </c:strRef>
          </c:tx>
          <c:spPr>
            <a:solidFill>
              <a:schemeClr val="accent3"/>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Analysis!$K$5:$K$10</c:f>
              <c:numCache>
                <c:formatCode>[$₹-4009]\ #,##0</c:formatCode>
                <c:ptCount val="5"/>
                <c:pt idx="0">
                  <c:v>2239.67</c:v>
                </c:pt>
                <c:pt idx="1">
                  <c:v>1119.8399999999999</c:v>
                </c:pt>
                <c:pt idx="2">
                  <c:v>1879.69</c:v>
                </c:pt>
                <c:pt idx="3">
                  <c:v>1999.71</c:v>
                </c:pt>
                <c:pt idx="4">
                  <c:v>1099.83</c:v>
                </c:pt>
              </c:numCache>
            </c:numRef>
          </c:val>
          <c:extLst>
            <c:ext xmlns:c16="http://schemas.microsoft.com/office/drawing/2014/chart" uri="{C3380CC4-5D6E-409C-BE32-E72D297353CC}">
              <c16:uniqueId val="{00000002-05C4-44FD-9FB5-666D566869DF}"/>
            </c:ext>
          </c:extLst>
        </c:ser>
        <c:dLbls>
          <c:showLegendKey val="0"/>
          <c:showVal val="0"/>
          <c:showCatName val="0"/>
          <c:showSerName val="0"/>
          <c:showPercent val="0"/>
          <c:showBubbleSize val="0"/>
        </c:dLbls>
        <c:gapWidth val="150"/>
        <c:shape val="box"/>
        <c:axId val="46309519"/>
        <c:axId val="46320559"/>
        <c:axId val="0"/>
      </c:bar3DChart>
      <c:catAx>
        <c:axId val="46309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46320559"/>
        <c:crosses val="autoZero"/>
        <c:auto val="1"/>
        <c:lblAlgn val="ctr"/>
        <c:lblOffset val="100"/>
        <c:noMultiLvlLbl val="0"/>
      </c:catAx>
      <c:valAx>
        <c:axId val="46320559"/>
        <c:scaling>
          <c:orientation val="minMax"/>
        </c:scaling>
        <c:delete val="0"/>
        <c:axPos val="b"/>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4630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[Customer_sales.xlsx]Analysis!PivotTable2</c:name>
    <c:fmtId val="15"/>
  </c:pivotSource>
  <c:chart>
    <c:title>
      <c:tx>
        <c:rich>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r>
              <a:rPr lang="en-US" sz="1600"/>
              <a:t>Sales / Region</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Analysis!$F$3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05-44D2-BB98-6A7599408AA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05-44D2-BB98-6A7599408AA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A05-44D2-BB98-6A7599408AA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A05-44D2-BB98-6A7599408AA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A05-44D2-BB98-6A7599408AA6}"/>
              </c:ext>
            </c:extLst>
          </c:dPt>
          <c:dLbls>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Analysis!$E$4:$E$9</c:f>
              <c:strCache>
                <c:ptCount val="5"/>
                <c:pt idx="0">
                  <c:v>East</c:v>
                </c:pt>
                <c:pt idx="1">
                  <c:v>North</c:v>
                </c:pt>
                <c:pt idx="2">
                  <c:v>West</c:v>
                </c:pt>
                <c:pt idx="3">
                  <c:v>Central</c:v>
                </c:pt>
                <c:pt idx="4">
                  <c:v>South</c:v>
                </c:pt>
              </c:strCache>
            </c:strRef>
          </c:cat>
          <c:val>
            <c:numRef>
              <c:f>Analysis!$F$4:$F$9</c:f>
              <c:numCache>
                <c:formatCode>[$₹-4009]\ #,##0</c:formatCode>
                <c:ptCount val="5"/>
                <c:pt idx="0">
                  <c:v>59288.39</c:v>
                </c:pt>
                <c:pt idx="1">
                  <c:v>50808.310000000012</c:v>
                </c:pt>
                <c:pt idx="2">
                  <c:v>41408.68</c:v>
                </c:pt>
                <c:pt idx="3">
                  <c:v>41288.340000000004</c:v>
                </c:pt>
                <c:pt idx="4">
                  <c:v>36398.749999999993</c:v>
                </c:pt>
              </c:numCache>
            </c:numRef>
          </c:val>
          <c:extLst>
            <c:ext xmlns:c16="http://schemas.microsoft.com/office/drawing/2014/chart" uri="{C3380CC4-5D6E-409C-BE32-E72D297353CC}">
              <c16:uniqueId val="{0000000A-8A05-44D2-BB98-6A7599408AA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[Customer_sales.xlsx]Analysis!PivotTable10</c:name>
    <c:fmtId val="4"/>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b="1"/>
              <a:t>Sales</a:t>
            </a:r>
            <a:r>
              <a:rPr lang="en-US" b="1" baseline="0"/>
              <a:t> / Product</a:t>
            </a:r>
          </a:p>
        </c:rich>
      </c:tx>
      <c:layout>
        <c:manualLayout>
          <c:xMode val="edge"/>
          <c:yMode val="edge"/>
          <c:x val="0.42056253147437539"/>
          <c:y val="4.666181383802751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Analysis!$S$11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Analysis!$R$12:$R$22</c:f>
              <c:strCache>
                <c:ptCount val="10"/>
                <c:pt idx="0">
                  <c:v>Laptop</c:v>
                </c:pt>
                <c:pt idx="1">
                  <c:v>Smartphone</c:v>
                </c:pt>
                <c:pt idx="2">
                  <c:v>Desk</c:v>
                </c:pt>
                <c:pt idx="3">
                  <c:v>Monitor</c:v>
                </c:pt>
                <c:pt idx="4">
                  <c:v>Bookshelf</c:v>
                </c:pt>
                <c:pt idx="5">
                  <c:v>Office Chair</c:v>
                </c:pt>
                <c:pt idx="6">
                  <c:v>Keyboard</c:v>
                </c:pt>
                <c:pt idx="7">
                  <c:v>Headphones</c:v>
                </c:pt>
                <c:pt idx="8">
                  <c:v>Blender</c:v>
                </c:pt>
                <c:pt idx="9">
                  <c:v>Coffee Maker</c:v>
                </c:pt>
              </c:strCache>
            </c:strRef>
          </c:cat>
          <c:val>
            <c:numRef>
              <c:f>Analysis!$S$12:$S$22</c:f>
              <c:numCache>
                <c:formatCode>[$₹-4009]\ #,##0</c:formatCode>
                <c:ptCount val="10"/>
                <c:pt idx="0">
                  <c:v>67499.25</c:v>
                </c:pt>
                <c:pt idx="1">
                  <c:v>67199.040000000008</c:v>
                </c:pt>
                <c:pt idx="2">
                  <c:v>23399.219999999998</c:v>
                </c:pt>
                <c:pt idx="3">
                  <c:v>21999.119999999999</c:v>
                </c:pt>
                <c:pt idx="4">
                  <c:v>15298.98</c:v>
                </c:pt>
                <c:pt idx="5">
                  <c:v>10399.48</c:v>
                </c:pt>
                <c:pt idx="6">
                  <c:v>8009.109999999996</c:v>
                </c:pt>
                <c:pt idx="7">
                  <c:v>7049.5300000000007</c:v>
                </c:pt>
                <c:pt idx="8">
                  <c:v>5219.1299999999992</c:v>
                </c:pt>
                <c:pt idx="9">
                  <c:v>3119.6099999999992</c:v>
                </c:pt>
              </c:numCache>
            </c:numRef>
          </c:val>
          <c:smooth val="0"/>
          <c:extLst>
            <c:ext xmlns:c16="http://schemas.microsoft.com/office/drawing/2014/chart" uri="{C3380CC4-5D6E-409C-BE32-E72D297353CC}">
              <c16:uniqueId val="{00000000-30FA-4AFA-BFC6-F12A79FEA1E4}"/>
            </c:ext>
          </c:extLst>
        </c:ser>
        <c:dLbls>
          <c:showLegendKey val="0"/>
          <c:showVal val="0"/>
          <c:showCatName val="0"/>
          <c:showSerName val="0"/>
          <c:showPercent val="0"/>
          <c:showBubbleSize val="0"/>
        </c:dLbls>
        <c:marker val="1"/>
        <c:smooth val="0"/>
        <c:axId val="92266815"/>
        <c:axId val="92268735"/>
      </c:lineChart>
      <c:catAx>
        <c:axId val="9226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92268735"/>
        <c:crosses val="autoZero"/>
        <c:auto val="1"/>
        <c:lblAlgn val="ctr"/>
        <c:lblOffset val="100"/>
        <c:noMultiLvlLbl val="0"/>
      </c:catAx>
      <c:valAx>
        <c:axId val="92268735"/>
        <c:scaling>
          <c:orientation val="minMax"/>
        </c:scaling>
        <c:delete val="0"/>
        <c:axPos val="l"/>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9226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3" Type="http://schemas.openxmlformats.org/officeDocument/2006/relationships/chart" Target="../charts/chart1.xml"/><Relationship Id="rId7"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316230</xdr:colOff>
      <xdr:row>3</xdr:row>
      <xdr:rowOff>59690</xdr:rowOff>
    </xdr:from>
    <xdr:to>
      <xdr:col>6</xdr:col>
      <xdr:colOff>361950</xdr:colOff>
      <xdr:row>7</xdr:row>
      <xdr:rowOff>128270</xdr:rowOff>
    </xdr:to>
    <xdr:sp macro="" textlink="">
      <xdr:nvSpPr>
        <xdr:cNvPr id="2" name="Rectangle: Diagonal Corners Rounded 1">
          <a:extLst>
            <a:ext uri="{FF2B5EF4-FFF2-40B4-BE49-F238E27FC236}">
              <a16:creationId xmlns:a16="http://schemas.microsoft.com/office/drawing/2014/main" id="{966F2D36-E196-48FC-AB05-BA05D53FA618}"/>
            </a:ext>
          </a:extLst>
        </xdr:cNvPr>
        <xdr:cNvSpPr/>
      </xdr:nvSpPr>
      <xdr:spPr>
        <a:xfrm>
          <a:off x="2754630" y="623570"/>
          <a:ext cx="1264920" cy="80772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latin typeface="Calibri" panose="020F0502020204030204" pitchFamily="34" charset="0"/>
              <a:ea typeface="Calibri" panose="020F0502020204030204" pitchFamily="34" charset="0"/>
              <a:cs typeface="Calibri" panose="020F0502020204030204" pitchFamily="34" charset="0"/>
            </a:rPr>
            <a:t>Top Revenue</a:t>
          </a:r>
          <a:endParaRPr lang="en-US" sz="500" b="1">
            <a:latin typeface="Calibri" panose="020F0502020204030204" pitchFamily="34" charset="0"/>
            <a:ea typeface="Calibri" panose="020F0502020204030204" pitchFamily="34" charset="0"/>
            <a:cs typeface="Calibri" panose="020F0502020204030204" pitchFamily="34" charset="0"/>
          </a:endParaRPr>
        </a:p>
        <a:p>
          <a:pPr algn="ctr"/>
          <a:r>
            <a:rPr lang="en-US" sz="500" b="1">
              <a:latin typeface="Calibri" panose="020F0502020204030204" pitchFamily="34" charset="0"/>
              <a:ea typeface="Calibri" panose="020F0502020204030204" pitchFamily="34" charset="0"/>
              <a:cs typeface="Calibri" panose="020F0502020204030204" pitchFamily="34" charset="0"/>
            </a:rPr>
            <a:t>  </a:t>
          </a:r>
          <a:endParaRPr lang="en-US" sz="1400" b="1">
            <a:latin typeface="Calibri" panose="020F0502020204030204" pitchFamily="34" charset="0"/>
            <a:ea typeface="Calibri" panose="020F0502020204030204" pitchFamily="34" charset="0"/>
            <a:cs typeface="Calibri" panose="020F0502020204030204" pitchFamily="34" charset="0"/>
          </a:endParaRPr>
        </a:p>
        <a:p>
          <a:pPr algn="l"/>
          <a:r>
            <a:rPr lang="en-US" sz="1400" b="1" baseline="0">
              <a:latin typeface="Calibri" panose="020F0502020204030204" pitchFamily="34" charset="0"/>
              <a:ea typeface="Calibri" panose="020F0502020204030204" pitchFamily="34" charset="0"/>
              <a:cs typeface="Calibri" panose="020F0502020204030204" pitchFamily="34" charset="0"/>
            </a:rPr>
            <a:t>   </a:t>
          </a:r>
          <a:r>
            <a:rPr lang="en-US" sz="1400" b="1">
              <a:latin typeface="Calibri" panose="020F0502020204030204" pitchFamily="34" charset="0"/>
              <a:ea typeface="Calibri" panose="020F0502020204030204" pitchFamily="34" charset="0"/>
              <a:cs typeface="Calibri" panose="020F0502020204030204" pitchFamily="34" charset="0"/>
            </a:rPr>
            <a:t>₹ 2,29,192 </a:t>
          </a:r>
        </a:p>
      </xdr:txBody>
    </xdr:sp>
    <xdr:clientData/>
  </xdr:twoCellAnchor>
  <xdr:twoCellAnchor>
    <xdr:from>
      <xdr:col>6</xdr:col>
      <xdr:colOff>377190</xdr:colOff>
      <xdr:row>3</xdr:row>
      <xdr:rowOff>60960</xdr:rowOff>
    </xdr:from>
    <xdr:to>
      <xdr:col>8</xdr:col>
      <xdr:colOff>513080</xdr:colOff>
      <xdr:row>7</xdr:row>
      <xdr:rowOff>129540</xdr:rowOff>
    </xdr:to>
    <xdr:sp macro="" textlink="">
      <xdr:nvSpPr>
        <xdr:cNvPr id="3" name="Rectangle: Diagonal Corners Rounded 2">
          <a:extLst>
            <a:ext uri="{FF2B5EF4-FFF2-40B4-BE49-F238E27FC236}">
              <a16:creationId xmlns:a16="http://schemas.microsoft.com/office/drawing/2014/main" id="{DE1D42F6-F10B-49E0-A1C9-E79C3C851EF3}"/>
            </a:ext>
          </a:extLst>
        </xdr:cNvPr>
        <xdr:cNvSpPr/>
      </xdr:nvSpPr>
      <xdr:spPr>
        <a:xfrm>
          <a:off x="4034790" y="624840"/>
          <a:ext cx="1355090" cy="80772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Total Unit Sold</a:t>
          </a:r>
          <a:endParaRPr lang="en-US" sz="500" b="1"/>
        </a:p>
        <a:p>
          <a:pPr algn="ctr"/>
          <a:r>
            <a:rPr lang="en-US" sz="500" b="1" baseline="0"/>
            <a:t>  </a:t>
          </a:r>
        </a:p>
        <a:p>
          <a:pPr algn="ctr"/>
          <a:r>
            <a:rPr lang="en-US" sz="1400" b="1" u="none" baseline="0"/>
            <a:t>753</a:t>
          </a:r>
          <a:r>
            <a:rPr lang="en-US" sz="500" b="1" u="none"/>
            <a:t> </a:t>
          </a:r>
          <a:endParaRPr lang="en-US" sz="1400" b="1" u="none"/>
        </a:p>
      </xdr:txBody>
    </xdr:sp>
    <xdr:clientData/>
  </xdr:twoCellAnchor>
  <xdr:twoCellAnchor>
    <xdr:from>
      <xdr:col>8</xdr:col>
      <xdr:colOff>525780</xdr:colOff>
      <xdr:row>3</xdr:row>
      <xdr:rowOff>53340</xdr:rowOff>
    </xdr:from>
    <xdr:to>
      <xdr:col>11</xdr:col>
      <xdr:colOff>15240</xdr:colOff>
      <xdr:row>7</xdr:row>
      <xdr:rowOff>137160</xdr:rowOff>
    </xdr:to>
    <xdr:sp macro="" textlink="">
      <xdr:nvSpPr>
        <xdr:cNvPr id="4" name="Rectangle: Diagonal Corners Rounded 3">
          <a:extLst>
            <a:ext uri="{FF2B5EF4-FFF2-40B4-BE49-F238E27FC236}">
              <a16:creationId xmlns:a16="http://schemas.microsoft.com/office/drawing/2014/main" id="{2AB26845-8C83-4A18-9F7C-CDBECDCE1C5B}"/>
            </a:ext>
          </a:extLst>
        </xdr:cNvPr>
        <xdr:cNvSpPr/>
      </xdr:nvSpPr>
      <xdr:spPr>
        <a:xfrm>
          <a:off x="5402580" y="617220"/>
          <a:ext cx="1318260" cy="82296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400" b="1"/>
            <a:t>Top</a:t>
          </a:r>
          <a:r>
            <a:rPr lang="en-US" sz="1400" b="1" baseline="0"/>
            <a:t> Customer</a:t>
          </a:r>
          <a:endParaRPr lang="en-US" sz="600" b="1" baseline="0"/>
        </a:p>
        <a:p>
          <a:pPr algn="ctr"/>
          <a:r>
            <a:rPr lang="en-US" sz="600" b="1" baseline="0"/>
            <a:t>  </a:t>
          </a:r>
        </a:p>
        <a:p>
          <a:pPr algn="ctr"/>
          <a:r>
            <a:rPr lang="en-US" sz="1400" b="1" baseline="0"/>
            <a:t>Mark Carter</a:t>
          </a:r>
        </a:p>
      </xdr:txBody>
    </xdr:sp>
    <xdr:clientData/>
  </xdr:twoCellAnchor>
  <xdr:twoCellAnchor>
    <xdr:from>
      <xdr:col>11</xdr:col>
      <xdr:colOff>38100</xdr:colOff>
      <xdr:row>3</xdr:row>
      <xdr:rowOff>53340</xdr:rowOff>
    </xdr:from>
    <xdr:to>
      <xdr:col>13</xdr:col>
      <xdr:colOff>175260</xdr:colOff>
      <xdr:row>7</xdr:row>
      <xdr:rowOff>137160</xdr:rowOff>
    </xdr:to>
    <xdr:sp macro="" textlink="">
      <xdr:nvSpPr>
        <xdr:cNvPr id="5" name="Rectangle: Diagonal Corners Rounded 4">
          <a:extLst>
            <a:ext uri="{FF2B5EF4-FFF2-40B4-BE49-F238E27FC236}">
              <a16:creationId xmlns:a16="http://schemas.microsoft.com/office/drawing/2014/main" id="{E9264907-C54F-4A1A-B116-FD487C66B4D4}"/>
            </a:ext>
          </a:extLst>
        </xdr:cNvPr>
        <xdr:cNvSpPr/>
      </xdr:nvSpPr>
      <xdr:spPr>
        <a:xfrm>
          <a:off x="6743700" y="617220"/>
          <a:ext cx="1356360" cy="82296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Top Region</a:t>
          </a:r>
        </a:p>
        <a:p>
          <a:pPr algn="ctr"/>
          <a:r>
            <a:rPr lang="en-US" sz="600" b="1"/>
            <a:t>   </a:t>
          </a:r>
        </a:p>
        <a:p>
          <a:pPr algn="ctr"/>
          <a:r>
            <a:rPr lang="en-US" sz="1400" b="1"/>
            <a:t>East</a:t>
          </a:r>
        </a:p>
      </xdr:txBody>
    </xdr:sp>
    <xdr:clientData/>
  </xdr:twoCellAnchor>
  <xdr:twoCellAnchor>
    <xdr:from>
      <xdr:col>13</xdr:col>
      <xdr:colOff>198120</xdr:colOff>
      <xdr:row>3</xdr:row>
      <xdr:rowOff>43180</xdr:rowOff>
    </xdr:from>
    <xdr:to>
      <xdr:col>15</xdr:col>
      <xdr:colOff>335280</xdr:colOff>
      <xdr:row>7</xdr:row>
      <xdr:rowOff>125730</xdr:rowOff>
    </xdr:to>
    <xdr:sp macro="" textlink="">
      <xdr:nvSpPr>
        <xdr:cNvPr id="6" name="Rectangle: Diagonal Corners Rounded 5">
          <a:extLst>
            <a:ext uri="{FF2B5EF4-FFF2-40B4-BE49-F238E27FC236}">
              <a16:creationId xmlns:a16="http://schemas.microsoft.com/office/drawing/2014/main" id="{AF086FB9-09AA-49EA-9AD2-909DD0B8B6F3}"/>
            </a:ext>
          </a:extLst>
        </xdr:cNvPr>
        <xdr:cNvSpPr/>
      </xdr:nvSpPr>
      <xdr:spPr>
        <a:xfrm>
          <a:off x="8122920" y="607060"/>
          <a:ext cx="1356360" cy="82169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Average Sale</a:t>
          </a:r>
          <a:endParaRPr lang="en-US" sz="600" b="1"/>
        </a:p>
        <a:p>
          <a:pPr algn="ctr"/>
          <a:r>
            <a:rPr lang="en-US" sz="600" b="1"/>
            <a:t>   </a:t>
          </a:r>
        </a:p>
        <a:p>
          <a:pPr algn="ctr"/>
          <a:r>
            <a:rPr lang="en-US" sz="1400" b="1">
              <a:solidFill>
                <a:schemeClr val="dk1"/>
              </a:solidFill>
              <a:effectLst/>
              <a:latin typeface="+mn-lt"/>
              <a:ea typeface="+mn-ea"/>
              <a:cs typeface="+mn-cs"/>
            </a:rPr>
            <a:t>₹</a:t>
          </a:r>
          <a:r>
            <a:rPr lang="en-US" sz="1100" b="1">
              <a:solidFill>
                <a:schemeClr val="dk1"/>
              </a:solidFill>
              <a:effectLst/>
              <a:latin typeface="+mn-lt"/>
              <a:ea typeface="+mn-ea"/>
              <a:cs typeface="+mn-cs"/>
            </a:rPr>
            <a:t> </a:t>
          </a:r>
          <a:r>
            <a:rPr lang="en-US" sz="1400" b="1"/>
            <a:t>916.77</a:t>
          </a:r>
        </a:p>
        <a:p>
          <a:pPr algn="ctr"/>
          <a:endParaRPr lang="en-US" sz="1400" b="1"/>
        </a:p>
      </xdr:txBody>
    </xdr:sp>
    <xdr:clientData/>
  </xdr:twoCellAnchor>
  <xdr:twoCellAnchor>
    <xdr:from>
      <xdr:col>0</xdr:col>
      <xdr:colOff>68580</xdr:colOff>
      <xdr:row>0</xdr:row>
      <xdr:rowOff>38100</xdr:rowOff>
    </xdr:from>
    <xdr:to>
      <xdr:col>20</xdr:col>
      <xdr:colOff>534629</xdr:colOff>
      <xdr:row>2</xdr:row>
      <xdr:rowOff>129540</xdr:rowOff>
    </xdr:to>
    <xdr:sp macro="" textlink="">
      <xdr:nvSpPr>
        <xdr:cNvPr id="7" name="Rectangle: Rounded Corners 6">
          <a:extLst>
            <a:ext uri="{FF2B5EF4-FFF2-40B4-BE49-F238E27FC236}">
              <a16:creationId xmlns:a16="http://schemas.microsoft.com/office/drawing/2014/main" id="{A0979712-1F29-3706-50C9-84EE2051061D}"/>
            </a:ext>
          </a:extLst>
        </xdr:cNvPr>
        <xdr:cNvSpPr/>
      </xdr:nvSpPr>
      <xdr:spPr>
        <a:xfrm>
          <a:off x="68580" y="38100"/>
          <a:ext cx="12633468" cy="466295"/>
        </a:xfrm>
        <a:prstGeom prst="roundRect">
          <a:avLst/>
        </a:prstGeom>
        <a:gradFill flip="none" rotWithShape="1">
          <a:gsLst>
            <a:gs pos="0">
              <a:schemeClr val="accent1">
                <a:lumMod val="5000"/>
                <a:lumOff val="95000"/>
              </a:schemeClr>
            </a:gs>
            <a:gs pos="100000">
              <a:schemeClr val="accent1">
                <a:lumMod val="60000"/>
                <a:lumOff val="40000"/>
              </a:schemeClr>
            </a:gs>
            <a:gs pos="100000">
              <a:schemeClr val="accent1">
                <a:lumMod val="60000"/>
                <a:lumOff val="40000"/>
              </a:schemeClr>
            </a:gs>
            <a:gs pos="100000">
              <a:schemeClr val="accent1">
                <a:lumMod val="60000"/>
                <a:lumOff val="40000"/>
              </a:schemeClr>
            </a:gs>
          </a:gsLst>
          <a:path path="rect">
            <a:fillToRect l="100000" t="100000"/>
          </a:path>
          <a:tileRect r="-100000" b="-100000"/>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effectLst>
                <a:glow rad="101600">
                  <a:schemeClr val="accent1">
                    <a:lumMod val="40000"/>
                    <a:lumOff val="60000"/>
                    <a:alpha val="60000"/>
                  </a:schemeClr>
                </a:glow>
              </a:effectLst>
            </a:rPr>
            <a:t>Sales Dashboard</a:t>
          </a:r>
        </a:p>
      </xdr:txBody>
    </xdr:sp>
    <xdr:clientData/>
  </xdr:twoCellAnchor>
  <xdr:twoCellAnchor editAs="oneCell">
    <xdr:from>
      <xdr:col>6</xdr:col>
      <xdr:colOff>454005</xdr:colOff>
      <xdr:row>0</xdr:row>
      <xdr:rowOff>65630</xdr:rowOff>
    </xdr:from>
    <xdr:to>
      <xdr:col>7</xdr:col>
      <xdr:colOff>241874</xdr:colOff>
      <xdr:row>2</xdr:row>
      <xdr:rowOff>88490</xdr:rowOff>
    </xdr:to>
    <xdr:pic>
      <xdr:nvPicPr>
        <xdr:cNvPr id="9" name="Graphic 8" descr="Bar chart with solid fill">
          <a:extLst>
            <a:ext uri="{FF2B5EF4-FFF2-40B4-BE49-F238E27FC236}">
              <a16:creationId xmlns:a16="http://schemas.microsoft.com/office/drawing/2014/main" id="{A627FCAF-3763-E750-B991-585995123B0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04231" y="65630"/>
          <a:ext cx="396240" cy="397715"/>
        </a:xfrm>
        <a:prstGeom prst="rect">
          <a:avLst/>
        </a:prstGeom>
        <a:effectLst>
          <a:glow rad="63500">
            <a:schemeClr val="accent1">
              <a:lumMod val="40000"/>
              <a:lumOff val="60000"/>
              <a:alpha val="40000"/>
            </a:schemeClr>
          </a:glow>
        </a:effectLst>
      </xdr:spPr>
    </xdr:pic>
    <xdr:clientData/>
  </xdr:twoCellAnchor>
  <xdr:twoCellAnchor>
    <xdr:from>
      <xdr:col>0</xdr:col>
      <xdr:colOff>63500</xdr:colOff>
      <xdr:row>36</xdr:row>
      <xdr:rowOff>75507</xdr:rowOff>
    </xdr:from>
    <xdr:to>
      <xdr:col>10</xdr:col>
      <xdr:colOff>525780</xdr:colOff>
      <xdr:row>51</xdr:row>
      <xdr:rowOff>75507</xdr:rowOff>
    </xdr:to>
    <xdr:graphicFrame macro="">
      <xdr:nvGraphicFramePr>
        <xdr:cNvPr id="8" name="Chart 7">
          <a:extLst>
            <a:ext uri="{FF2B5EF4-FFF2-40B4-BE49-F238E27FC236}">
              <a16:creationId xmlns:a16="http://schemas.microsoft.com/office/drawing/2014/main" id="{9D0640CE-107A-4FBE-8769-1469EDD2B7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82551</xdr:colOff>
      <xdr:row>51</xdr:row>
      <xdr:rowOff>99755</xdr:rowOff>
    </xdr:from>
    <xdr:to>
      <xdr:col>10</xdr:col>
      <xdr:colOff>518160</xdr:colOff>
      <xdr:row>57</xdr:row>
      <xdr:rowOff>145473</xdr:rowOff>
    </xdr:to>
    <mc:AlternateContent xmlns:mc="http://schemas.openxmlformats.org/markup-compatibility/2006" xmlns:tsle="http://schemas.microsoft.com/office/drawing/2012/timeslicer">
      <mc:Choice Requires="tsle">
        <xdr:graphicFrame macro="">
          <xdr:nvGraphicFramePr>
            <xdr:cNvPr id="10" name="Date">
              <a:extLst>
                <a:ext uri="{FF2B5EF4-FFF2-40B4-BE49-F238E27FC236}">
                  <a16:creationId xmlns:a16="http://schemas.microsoft.com/office/drawing/2014/main" id="{0C67E048-72CD-C296-393E-90F5185EF2C0}"/>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82551" y="9557158"/>
              <a:ext cx="5634088" cy="115184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45271</xdr:colOff>
      <xdr:row>15</xdr:row>
      <xdr:rowOff>57150</xdr:rowOff>
    </xdr:from>
    <xdr:to>
      <xdr:col>6</xdr:col>
      <xdr:colOff>571501</xdr:colOff>
      <xdr:row>35</xdr:row>
      <xdr:rowOff>114300</xdr:rowOff>
    </xdr:to>
    <xdr:graphicFrame macro="">
      <xdr:nvGraphicFramePr>
        <xdr:cNvPr id="11" name="Chart 10">
          <a:extLst>
            <a:ext uri="{FF2B5EF4-FFF2-40B4-BE49-F238E27FC236}">
              <a16:creationId xmlns:a16="http://schemas.microsoft.com/office/drawing/2014/main" id="{E9535FEF-09E5-4F1F-ABF0-4F2EF89562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74352</xdr:colOff>
      <xdr:row>8</xdr:row>
      <xdr:rowOff>62808</xdr:rowOff>
    </xdr:from>
    <xdr:to>
      <xdr:col>4</xdr:col>
      <xdr:colOff>121920</xdr:colOff>
      <xdr:row>14</xdr:row>
      <xdr:rowOff>154247</xdr:rowOff>
    </xdr:to>
    <mc:AlternateContent xmlns:mc="http://schemas.openxmlformats.org/markup-compatibility/2006">
      <mc:Choice xmlns:a14="http://schemas.microsoft.com/office/drawing/2010/main" Requires="a14">
        <xdr:graphicFrame macro="">
          <xdr:nvGraphicFramePr>
            <xdr:cNvPr id="12" name="Category">
              <a:extLst>
                <a:ext uri="{FF2B5EF4-FFF2-40B4-BE49-F238E27FC236}">
                  <a16:creationId xmlns:a16="http://schemas.microsoft.com/office/drawing/2014/main" id="{1EA73120-F2C0-CEEA-45FC-7DD4BE0B1EE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83952" y="1556328"/>
              <a:ext cx="1876368" cy="11963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15363</xdr:colOff>
      <xdr:row>15</xdr:row>
      <xdr:rowOff>63502</xdr:rowOff>
    </xdr:from>
    <xdr:to>
      <xdr:col>20</xdr:col>
      <xdr:colOff>556260</xdr:colOff>
      <xdr:row>35</xdr:row>
      <xdr:rowOff>116759</xdr:rowOff>
    </xdr:to>
    <xdr:graphicFrame macro="">
      <xdr:nvGraphicFramePr>
        <xdr:cNvPr id="15" name="Chart 14">
          <a:extLst>
            <a:ext uri="{FF2B5EF4-FFF2-40B4-BE49-F238E27FC236}">
              <a16:creationId xmlns:a16="http://schemas.microsoft.com/office/drawing/2014/main" id="{BE0D80A6-6F7E-4008-9335-74B4935093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73743</xdr:colOff>
      <xdr:row>15</xdr:row>
      <xdr:rowOff>63500</xdr:rowOff>
    </xdr:from>
    <xdr:to>
      <xdr:col>13</xdr:col>
      <xdr:colOff>534629</xdr:colOff>
      <xdr:row>35</xdr:row>
      <xdr:rowOff>120649</xdr:rowOff>
    </xdr:to>
    <xdr:graphicFrame macro="">
      <xdr:nvGraphicFramePr>
        <xdr:cNvPr id="16" name="Chart 15">
          <a:extLst>
            <a:ext uri="{FF2B5EF4-FFF2-40B4-BE49-F238E27FC236}">
              <a16:creationId xmlns:a16="http://schemas.microsoft.com/office/drawing/2014/main" id="{18A4997F-AF19-4BFD-AB26-12E3575629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14</xdr:col>
      <xdr:colOff>601749</xdr:colOff>
      <xdr:row>8</xdr:row>
      <xdr:rowOff>144783</xdr:rowOff>
    </xdr:from>
    <xdr:to>
      <xdr:col>20</xdr:col>
      <xdr:colOff>30480</xdr:colOff>
      <xdr:row>14</xdr:row>
      <xdr:rowOff>68581</xdr:rowOff>
    </xdr:to>
    <mc:AlternateContent xmlns:mc="http://schemas.openxmlformats.org/markup-compatibility/2006">
      <mc:Choice xmlns:a14="http://schemas.microsoft.com/office/drawing/2010/main" Requires="a14">
        <xdr:graphicFrame macro="">
          <xdr:nvGraphicFramePr>
            <xdr:cNvPr id="17" name="Region">
              <a:extLst>
                <a:ext uri="{FF2B5EF4-FFF2-40B4-BE49-F238E27FC236}">
                  <a16:creationId xmlns:a16="http://schemas.microsoft.com/office/drawing/2014/main" id="{8723BA2B-3EAE-019E-A5A3-10DF2EBAB55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136149" y="1638303"/>
              <a:ext cx="3086331" cy="10286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605558</xdr:colOff>
      <xdr:row>8</xdr:row>
      <xdr:rowOff>166719</xdr:rowOff>
    </xdr:from>
    <xdr:to>
      <xdr:col>14</xdr:col>
      <xdr:colOff>167639</xdr:colOff>
      <xdr:row>14</xdr:row>
      <xdr:rowOff>68580</xdr:rowOff>
    </xdr:to>
    <mc:AlternateContent xmlns:mc="http://schemas.openxmlformats.org/markup-compatibility/2006">
      <mc:Choice xmlns:a14="http://schemas.microsoft.com/office/drawing/2010/main" Requires="a14">
        <xdr:graphicFrame macro="">
          <xdr:nvGraphicFramePr>
            <xdr:cNvPr id="18" name="Product_Name">
              <a:extLst>
                <a:ext uri="{FF2B5EF4-FFF2-40B4-BE49-F238E27FC236}">
                  <a16:creationId xmlns:a16="http://schemas.microsoft.com/office/drawing/2014/main" id="{DD9A9A57-C6B8-C966-4D07-9376AD67BEE1}"/>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dr:sp macro="" textlink="">
          <xdr:nvSpPr>
            <xdr:cNvPr id="0" name=""/>
            <xdr:cNvSpPr>
              <a:spLocks noTextEdit="1"/>
            </xdr:cNvSpPr>
          </xdr:nvSpPr>
          <xdr:spPr>
            <a:xfrm>
              <a:off x="3043958" y="1660239"/>
              <a:ext cx="5658081" cy="10067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91440</xdr:colOff>
      <xdr:row>36</xdr:row>
      <xdr:rowOff>83820</xdr:rowOff>
    </xdr:from>
    <xdr:to>
      <xdr:col>20</xdr:col>
      <xdr:colOff>556260</xdr:colOff>
      <xdr:row>57</xdr:row>
      <xdr:rowOff>144780</xdr:rowOff>
    </xdr:to>
    <xdr:sp macro="" textlink="">
      <xdr:nvSpPr>
        <xdr:cNvPr id="13" name="Rectangle 12">
          <a:extLst>
            <a:ext uri="{FF2B5EF4-FFF2-40B4-BE49-F238E27FC236}">
              <a16:creationId xmlns:a16="http://schemas.microsoft.com/office/drawing/2014/main" id="{F810CC39-3E04-EB25-23D5-4B67ABAA3328}"/>
            </a:ext>
          </a:extLst>
        </xdr:cNvPr>
        <xdr:cNvSpPr/>
      </xdr:nvSpPr>
      <xdr:spPr>
        <a:xfrm>
          <a:off x="6797040" y="6728460"/>
          <a:ext cx="5951220" cy="3909060"/>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tx1"/>
              </a:solidFill>
            </a:rPr>
            <a:t>Key Insights</a:t>
          </a:r>
        </a:p>
        <a:p>
          <a:pPr algn="l"/>
          <a:endParaRPr lang="en-US" sz="1300" b="1">
            <a:solidFill>
              <a:schemeClr val="tx1"/>
            </a:solidFill>
          </a:endParaRPr>
        </a:p>
        <a:p>
          <a:pPr algn="l"/>
          <a:r>
            <a:rPr lang="en-US" sz="1300" b="1">
              <a:solidFill>
                <a:schemeClr val="tx1"/>
              </a:solidFill>
            </a:rPr>
            <a:t>1. Overall Performance:</a:t>
          </a:r>
          <a:r>
            <a:rPr lang="en-US" sz="1300">
              <a:solidFill>
                <a:schemeClr val="tx1"/>
              </a:solidFill>
            </a:rPr>
            <a:t> Total revenue stands at </a:t>
          </a:r>
          <a:r>
            <a:rPr lang="en-US" sz="1300" b="1">
              <a:solidFill>
                <a:schemeClr val="tx1"/>
              </a:solidFill>
            </a:rPr>
            <a:t>₹ 2,29,192</a:t>
          </a:r>
          <a:r>
            <a:rPr lang="en-US" sz="1300">
              <a:solidFill>
                <a:schemeClr val="tx1"/>
              </a:solidFill>
            </a:rPr>
            <a:t> from </a:t>
          </a:r>
          <a:r>
            <a:rPr lang="en-US" sz="1300" b="1">
              <a:solidFill>
                <a:schemeClr val="tx1"/>
              </a:solidFill>
            </a:rPr>
            <a:t>753</a:t>
          </a:r>
          <a:r>
            <a:rPr lang="en-US" sz="1300">
              <a:solidFill>
                <a:schemeClr val="tx1"/>
              </a:solidFill>
            </a:rPr>
            <a:t> units sold, maintaining a strong average sale value of </a:t>
          </a:r>
          <a:r>
            <a:rPr lang="en-US" sz="1300" b="1">
              <a:solidFill>
                <a:schemeClr val="tx1"/>
              </a:solidFill>
            </a:rPr>
            <a:t>₹ 916.77</a:t>
          </a:r>
          <a:r>
            <a:rPr lang="en-US" sz="1300">
              <a:solidFill>
                <a:schemeClr val="tx1"/>
              </a:solidFill>
            </a:rPr>
            <a:t>.</a:t>
          </a:r>
        </a:p>
        <a:p>
          <a:pPr algn="l"/>
          <a:endParaRPr lang="en-US" sz="1300">
            <a:solidFill>
              <a:schemeClr val="tx1"/>
            </a:solidFill>
          </a:endParaRPr>
        </a:p>
        <a:p>
          <a:pPr algn="l"/>
          <a:r>
            <a:rPr lang="en-US" sz="1300" b="1">
              <a:solidFill>
                <a:schemeClr val="tx1"/>
              </a:solidFill>
            </a:rPr>
            <a:t>2. Product Dominance:</a:t>
          </a:r>
          <a:r>
            <a:rPr lang="en-US" sz="1300">
              <a:solidFill>
                <a:schemeClr val="tx1"/>
              </a:solidFill>
            </a:rPr>
            <a:t> The "Electronics" category heavily drives revenue across every single region, with Laptops and Smartphones vastly outperforming all other products.</a:t>
          </a:r>
        </a:p>
        <a:p>
          <a:pPr algn="l"/>
          <a:endParaRPr lang="en-US" sz="1300">
            <a:solidFill>
              <a:schemeClr val="tx1"/>
            </a:solidFill>
          </a:endParaRPr>
        </a:p>
        <a:p>
          <a:pPr algn="l"/>
          <a:r>
            <a:rPr lang="en-US" sz="1300" b="1">
              <a:solidFill>
                <a:schemeClr val="tx1"/>
              </a:solidFill>
            </a:rPr>
            <a:t>3. Regional Disparity:</a:t>
          </a:r>
          <a:r>
            <a:rPr lang="en-US" sz="1300">
              <a:solidFill>
                <a:schemeClr val="tx1"/>
              </a:solidFill>
            </a:rPr>
            <a:t> The East region is the top revenue generator (</a:t>
          </a:r>
          <a:r>
            <a:rPr lang="en-US" sz="1300" b="1">
              <a:solidFill>
                <a:schemeClr val="tx1"/>
              </a:solidFill>
            </a:rPr>
            <a:t>₹ 59,288</a:t>
          </a:r>
          <a:r>
            <a:rPr lang="en-US" sz="1300">
              <a:solidFill>
                <a:schemeClr val="tx1"/>
              </a:solidFill>
            </a:rPr>
            <a:t>), while the South lags behind as the lowest-performing region (</a:t>
          </a:r>
          <a:r>
            <a:rPr lang="en-US" sz="1300" b="1">
              <a:solidFill>
                <a:schemeClr val="tx1"/>
              </a:solidFill>
            </a:rPr>
            <a:t>₹ 36,399</a:t>
          </a:r>
          <a:r>
            <a:rPr lang="en-US" sz="1300">
              <a:solidFill>
                <a:schemeClr val="tx1"/>
              </a:solidFill>
            </a:rPr>
            <a:t>).</a:t>
          </a:r>
        </a:p>
        <a:p>
          <a:pPr algn="l"/>
          <a:endParaRPr lang="en-US" sz="1300">
            <a:solidFill>
              <a:schemeClr val="tx1"/>
            </a:solidFill>
          </a:endParaRPr>
        </a:p>
        <a:p>
          <a:pPr algn="l"/>
          <a:r>
            <a:rPr lang="en-US" sz="1300" b="1">
              <a:solidFill>
                <a:schemeClr val="tx1"/>
              </a:solidFill>
            </a:rPr>
            <a:t>4. Seasonal Peaks:</a:t>
          </a:r>
          <a:r>
            <a:rPr lang="en-US" sz="1300">
              <a:solidFill>
                <a:schemeClr val="tx1"/>
              </a:solidFill>
            </a:rPr>
            <a:t> Sales volume shows distinct seasonality, with significant spikes during the turn of the year (December and January) and noticeable drop-offs in April and September.</a:t>
          </a:r>
        </a:p>
        <a:p>
          <a:pPr algn="l"/>
          <a:endParaRPr lang="en-US" sz="1300">
            <a:solidFill>
              <a:schemeClr val="tx1"/>
            </a:solidFill>
          </a:endParaRPr>
        </a:p>
        <a:p>
          <a:pPr algn="l"/>
          <a:r>
            <a:rPr lang="en-US" sz="1300" b="1">
              <a:solidFill>
                <a:schemeClr val="tx1"/>
              </a:solidFill>
            </a:rPr>
            <a:t>5. Customer Impact:</a:t>
          </a:r>
          <a:r>
            <a:rPr lang="en-US" sz="1300">
              <a:solidFill>
                <a:schemeClr val="tx1"/>
              </a:solidFill>
            </a:rPr>
            <a:t> A single customer, Mark Carter, is highlighted as your top buyer, indicating that a subset of high-volume purchasers significantly impacts your overall revenue goals.</a:t>
          </a:r>
        </a:p>
        <a:p>
          <a:pPr algn="l"/>
          <a:endParaRPr lang="en-US" sz="1300">
            <a:solidFill>
              <a:schemeClr val="tx1"/>
            </a:solidFill>
          </a:endParaRPr>
        </a:p>
      </xdr:txBody>
    </xdr:sp>
    <xdr:clientData/>
  </xdr:twoCellAnchor>
  <xdr:twoCellAnchor editAs="oneCell">
    <xdr:from>
      <xdr:col>13</xdr:col>
      <xdr:colOff>571500</xdr:colOff>
      <xdr:row>36</xdr:row>
      <xdr:rowOff>99060</xdr:rowOff>
    </xdr:from>
    <xdr:to>
      <xdr:col>14</xdr:col>
      <xdr:colOff>426720</xdr:colOff>
      <xdr:row>39</xdr:row>
      <xdr:rowOff>7620</xdr:rowOff>
    </xdr:to>
    <xdr:pic>
      <xdr:nvPicPr>
        <xdr:cNvPr id="19" name="Graphic 18" descr="Chat with solid fill">
          <a:extLst>
            <a:ext uri="{FF2B5EF4-FFF2-40B4-BE49-F238E27FC236}">
              <a16:creationId xmlns:a16="http://schemas.microsoft.com/office/drawing/2014/main" id="{FB1E0E58-8643-0821-8A55-F824E995C71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496300" y="6743700"/>
          <a:ext cx="464820" cy="46482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6.598046990737" createdVersion="8" refreshedVersion="8" minRefreshableVersion="3" recordCount="250" xr:uid="{F9496EB2-2534-4BB2-A8F7-E6B0F09164E5}">
  <cacheSource type="worksheet">
    <worksheetSource name="data"/>
  </cacheSource>
  <cacheFields count="18">
    <cacheField name="Transaction_ID" numFmtId="0">
      <sharedItems/>
    </cacheField>
    <cacheField name="Date" numFmtId="14">
      <sharedItems containsSemiMixedTypes="0" containsNonDate="0" containsDate="1" containsString="0" minDate="2024-04-11T00:00:00" maxDate="2025-04-12T00:00:00" count="162">
        <d v="2025-03-24T00:00:00"/>
        <d v="2025-03-21T00:00:00"/>
        <d v="2024-12-18T00:00:00"/>
        <d v="2024-07-01T00:00:00"/>
        <d v="2024-05-18T00:00:00"/>
        <d v="2024-09-09T00:00:00"/>
        <d v="2024-12-20T00:00:00"/>
        <d v="2025-01-06T00:00:00"/>
        <d v="2024-07-08T00:00:00"/>
        <d v="2024-12-28T00:00:00"/>
        <d v="2025-01-31T00:00:00"/>
        <d v="2025-02-19T00:00:00"/>
        <d v="2024-10-01T00:00:00"/>
        <d v="2024-04-18T00:00:00"/>
        <d v="2024-06-07T00:00:00"/>
        <d v="2024-10-23T00:00:00"/>
        <d v="2024-09-16T00:00:00"/>
        <d v="2024-11-23T00:00:00"/>
        <d v="2024-06-03T00:00:00"/>
        <d v="2024-11-12T00:00:00"/>
        <d v="2024-12-09T00:00:00"/>
        <d v="2024-05-23T00:00:00"/>
        <d v="2024-06-13T00:00:00"/>
        <d v="2025-01-19T00:00:00"/>
        <d v="2024-05-16T00:00:00"/>
        <d v="2024-07-25T00:00:00"/>
        <d v="2024-12-22T00:00:00"/>
        <d v="2024-08-13T00:00:00"/>
        <d v="2024-07-03T00:00:00"/>
        <d v="2024-12-15T00:00:00"/>
        <d v="2024-12-19T00:00:00"/>
        <d v="2024-05-28T00:00:00"/>
        <d v="2024-06-17T00:00:00"/>
        <d v="2024-06-26T00:00:00"/>
        <d v="2025-01-16T00:00:00"/>
        <d v="2025-04-09T00:00:00"/>
        <d v="2024-04-23T00:00:00"/>
        <d v="2024-12-29T00:00:00"/>
        <d v="2024-08-09T00:00:00"/>
        <d v="2024-11-08T00:00:00"/>
        <d v="2024-04-28T00:00:00"/>
        <d v="2024-10-07T00:00:00"/>
        <d v="2025-01-29T00:00:00"/>
        <d v="2024-09-19T00:00:00"/>
        <d v="2024-12-03T00:00:00"/>
        <d v="2024-05-12T00:00:00"/>
        <d v="2024-11-07T00:00:00"/>
        <d v="2024-11-11T00:00:00"/>
        <d v="2024-06-28T00:00:00"/>
        <d v="2024-06-16T00:00:00"/>
        <d v="2024-09-28T00:00:00"/>
        <d v="2024-05-22T00:00:00"/>
        <d v="2024-05-01T00:00:00"/>
        <d v="2024-07-11T00:00:00"/>
        <d v="2024-04-14T00:00:00"/>
        <d v="2024-12-01T00:00:00"/>
        <d v="2024-06-06T00:00:00"/>
        <d v="2024-07-24T00:00:00"/>
        <d v="2024-09-25T00:00:00"/>
        <d v="2024-11-27T00:00:00"/>
        <d v="2025-02-17T00:00:00"/>
        <d v="2024-09-29T00:00:00"/>
        <d v="2025-02-27T00:00:00"/>
        <d v="2024-10-08T00:00:00"/>
        <d v="2025-02-23T00:00:00"/>
        <d v="2024-08-05T00:00:00"/>
        <d v="2024-05-15T00:00:00"/>
        <d v="2025-02-22T00:00:00"/>
        <d v="2024-06-01T00:00:00"/>
        <d v="2024-09-10T00:00:00"/>
        <d v="2024-07-02T00:00:00"/>
        <d v="2025-03-08T00:00:00"/>
        <d v="2025-03-02T00:00:00"/>
        <d v="2024-04-21T00:00:00"/>
        <d v="2024-07-27T00:00:00"/>
        <d v="2024-10-16T00:00:00"/>
        <d v="2025-02-20T00:00:00"/>
        <d v="2024-04-30T00:00:00"/>
        <d v="2024-07-28T00:00:00"/>
        <d v="2024-05-31T00:00:00"/>
        <d v="2025-01-03T00:00:00"/>
        <d v="2024-10-11T00:00:00"/>
        <d v="2024-11-09T00:00:00"/>
        <d v="2025-03-29T00:00:00"/>
        <d v="2024-05-20T00:00:00"/>
        <d v="2025-02-16T00:00:00"/>
        <d v="2024-04-17T00:00:00"/>
        <d v="2024-12-23T00:00:00"/>
        <d v="2025-01-25T00:00:00"/>
        <d v="2024-04-26T00:00:00"/>
        <d v="2025-03-23T00:00:00"/>
        <d v="2024-11-01T00:00:00"/>
        <d v="2024-09-02T00:00:00"/>
        <d v="2024-04-11T00:00:00"/>
        <d v="2025-03-07T00:00:00"/>
        <d v="2024-12-04T00:00:00"/>
        <d v="2024-09-12T00:00:00"/>
        <d v="2025-01-26T00:00:00"/>
        <d v="2025-01-13T00:00:00"/>
        <d v="2024-11-17T00:00:00"/>
        <d v="2024-08-18T00:00:00"/>
        <d v="2024-08-11T00:00:00"/>
        <d v="2024-12-31T00:00:00"/>
        <d v="2024-07-30T00:00:00"/>
        <d v="2024-05-04T00:00:00"/>
        <d v="2024-11-04T00:00:00"/>
        <d v="2025-01-09T00:00:00"/>
        <d v="2024-07-18T00:00:00"/>
        <d v="2025-03-30T00:00:00"/>
        <d v="2024-10-14T00:00:00"/>
        <d v="2024-04-27T00:00:00"/>
        <d v="2024-08-15T00:00:00"/>
        <d v="2025-01-14T00:00:00"/>
        <d v="2024-10-24T00:00:00"/>
        <d v="2025-04-02T00:00:00"/>
        <d v="2024-11-21T00:00:00"/>
        <d v="2024-05-13T00:00:00"/>
        <d v="2024-06-29T00:00:00"/>
        <d v="2024-12-10T00:00:00"/>
        <d v="2024-07-31T00:00:00"/>
        <d v="2025-04-11T00:00:00"/>
        <d v="2025-01-11T00:00:00"/>
        <d v="2024-09-06T00:00:00"/>
        <d v="2025-02-24T00:00:00"/>
        <d v="2024-05-26T00:00:00"/>
        <d v="2024-09-24T00:00:00"/>
        <d v="2024-08-30T00:00:00"/>
        <d v="2025-03-18T00:00:00"/>
        <d v="2024-07-14T00:00:00"/>
        <d v="2024-08-28T00:00:00"/>
        <d v="2024-08-24T00:00:00"/>
        <d v="2025-03-10T00:00:00"/>
        <d v="2024-05-29T00:00:00"/>
        <d v="2024-08-19T00:00:00"/>
        <d v="2024-05-10T00:00:00"/>
        <d v="2025-02-13T00:00:00"/>
        <d v="2025-01-10T00:00:00"/>
        <d v="2025-01-04T00:00:00"/>
        <d v="2025-02-04T00:00:00"/>
        <d v="2024-10-21T00:00:00"/>
        <d v="2024-10-18T00:00:00"/>
        <d v="2024-09-03T00:00:00"/>
        <d v="2025-03-04T00:00:00"/>
        <d v="2025-02-08T00:00:00"/>
        <d v="2024-07-23T00:00:00"/>
        <d v="2024-12-12T00:00:00"/>
        <d v="2024-07-17T00:00:00"/>
        <d v="2024-09-15T00:00:00"/>
        <d v="2025-02-07T00:00:00"/>
        <d v="2025-03-05T00:00:00"/>
        <d v="2025-04-01T00:00:00"/>
        <d v="2025-03-27T00:00:00"/>
        <d v="2024-08-06T00:00:00"/>
        <d v="2024-05-03T00:00:00"/>
        <d v="2024-08-22T00:00:00"/>
        <d v="2024-11-26T00:00:00"/>
        <d v="2024-09-13T00:00:00"/>
        <d v="2025-04-08T00:00:00"/>
        <d v="2024-06-25T00:00:00"/>
        <d v="2024-07-09T00:00:00"/>
        <d v="2024-10-27T00:00:00"/>
        <d v="2024-06-09T00:00:00"/>
      </sharedItems>
      <fieldGroup par="17"/>
    </cacheField>
    <cacheField name="Customer_ID" numFmtId="0">
      <sharedItems/>
    </cacheField>
    <cacheField name="Customer_Name" numFmtId="0">
      <sharedItems count="50">
        <s v="John Smith"/>
        <s v="Emma Wilson"/>
        <s v="Michael Brown"/>
        <s v="Sarah Davis"/>
        <s v="James Johnson"/>
        <s v="Lisa Anderson"/>
        <s v="David Martinez"/>
        <s v="Jennifer Taylor"/>
        <s v="Robert Thomas"/>
        <s v="Maria Garcia"/>
        <s v="William White"/>
        <s v="Patricia Moore"/>
        <s v="Joseph Jackson"/>
        <s v="Linda Martin"/>
        <s v="Richard Lee"/>
        <s v="Elizabeth Hall"/>
        <s v="Charles Allen"/>
        <s v="Barbara Young"/>
        <s v="Daniel King"/>
        <s v="Margaret Wright"/>
        <s v="Kevin Scott"/>
        <s v="Susan Green"/>
        <s v="Paul Baker"/>
        <s v="Dorothy Nelson"/>
        <s v="Mark Carter"/>
        <s v="Karen Hill"/>
        <s v="George Adams"/>
        <s v="Betty Campbell"/>
        <s v="Edward Mitchell"/>
        <s v="Helen Roberts"/>
        <s v="Steven Turner"/>
        <s v="Sandra Phillips"/>
        <s v="Frank Torres"/>
        <s v="Carol Evans"/>
        <s v="Harry Morgan"/>
        <s v="Nancy Collins"/>
        <s v="Arthur Edwards"/>
        <s v="Michelle Rogers"/>
        <s v="Lawrence Reed"/>
        <s v="Sharon Butler"/>
        <s v="Peter Richardson"/>
        <s v="Ruth Brooks"/>
        <s v="Dennis Gray"/>
        <s v="Cynthia Price"/>
        <s v="Douglas Watson"/>
        <s v="Kathleen Bennett"/>
        <s v="Gerald Murphy"/>
        <s v="Virginia Sanders"/>
        <s v="Raymond Ross"/>
        <s v="Julie Foster"/>
      </sharedItems>
    </cacheField>
    <cacheField name="Product_ID" numFmtId="0">
      <sharedItems/>
    </cacheField>
    <cacheField name="Product_Name" numFmtId="0">
      <sharedItems count="10">
        <s v="Bookshelf"/>
        <s v="Blender"/>
        <s v="Keyboard"/>
        <s v="Desk"/>
        <s v="Smartphone"/>
        <s v="Office Chair"/>
        <s v="Coffee Maker"/>
        <s v="Headphones"/>
        <s v="Laptop"/>
        <s v="Monitor"/>
      </sharedItems>
    </cacheField>
    <cacheField name="Category" numFmtId="0">
      <sharedItems count="3">
        <s v="Furniture"/>
        <s v="Appliances"/>
        <s v="Electronics"/>
      </sharedItems>
    </cacheField>
    <cacheField name="Quantity" numFmtId="0">
      <sharedItems containsSemiMixedTypes="0" containsString="0" containsNumber="1" containsInteger="1" minValue="1" maxValue="5"/>
    </cacheField>
    <cacheField name="Unit_Price" numFmtId="164">
      <sharedItems containsSemiMixedTypes="0" containsString="0" containsNumber="1" minValue="59.99" maxValue="899.99"/>
    </cacheField>
    <cacheField name="Payment_Method" numFmtId="0">
      <sharedItems count="4">
        <s v="PayPal"/>
        <s v="Cash"/>
        <s v="Credit Card"/>
        <s v="Debit Card"/>
      </sharedItems>
    </cacheField>
    <cacheField name="Region" numFmtId="0">
      <sharedItems count="5">
        <s v="West"/>
        <s v="Central"/>
        <s v="East"/>
        <s v="South"/>
        <s v="North"/>
      </sharedItems>
    </cacheField>
    <cacheField name="Customer_Segment" numFmtId="0">
      <sharedItems count="3">
        <s v="Standard"/>
        <s v="Premium"/>
        <s v="Basic"/>
      </sharedItems>
    </cacheField>
    <cacheField name="Customer_Since" numFmtId="14">
      <sharedItems containsSemiMixedTypes="0" containsNonDate="0" containsDate="1" containsString="0" minDate="2021-07-18T00:00:00" maxDate="2024-04-12T00:00:00"/>
    </cacheField>
    <cacheField name="Total_Amount" numFmtId="164">
      <sharedItems containsSemiMixedTypes="0" containsString="0" containsNumber="1" minValue="59.99" maxValue="4499.95"/>
    </cacheField>
    <cacheField name="Custmore Since" numFmtId="165">
      <sharedItems containsSemiMixedTypes="0" containsString="0" containsNumber="1" containsInteger="1" minValue="36" maxValue="1299"/>
    </cacheField>
    <cacheField name="Months (Date)" numFmtId="0" databaseField="0">
      <fieldGroup base="1">
        <rangePr groupBy="months" startDate="2024-04-11T00:00:00" endDate="2025-04-12T00:00:00"/>
        <groupItems count="14">
          <s v="&lt;4/11/2024"/>
          <s v="Jan"/>
          <s v="Feb"/>
          <s v="Mar"/>
          <s v="Apr"/>
          <s v="May"/>
          <s v="Jun"/>
          <s v="Jul"/>
          <s v="Aug"/>
          <s v="Sep"/>
          <s v="Oct"/>
          <s v="Nov"/>
          <s v="Dec"/>
          <s v="&gt;4/12/2025"/>
        </groupItems>
      </fieldGroup>
    </cacheField>
    <cacheField name="Quarters (Date)" numFmtId="0" databaseField="0">
      <fieldGroup base="1">
        <rangePr groupBy="quarters" startDate="2024-04-11T00:00:00" endDate="2025-04-12T00:00:00"/>
        <groupItems count="6">
          <s v="&lt;4/11/2024"/>
          <s v="Qtr1"/>
          <s v="Qtr2"/>
          <s v="Qtr3"/>
          <s v="Qtr4"/>
          <s v="&gt;4/12/2025"/>
        </groupItems>
      </fieldGroup>
    </cacheField>
    <cacheField name="Years (Date)" numFmtId="0" databaseField="0">
      <fieldGroup base="1">
        <rangePr groupBy="years" startDate="2024-04-11T00:00:00" endDate="2025-04-12T00:00:00"/>
        <groupItems count="4">
          <s v="&lt;4/11/2024"/>
          <s v="2024"/>
          <s v="2025"/>
          <s v="&gt;4/12/2025"/>
        </groupItems>
      </fieldGroup>
    </cacheField>
  </cacheFields>
  <extLst>
    <ext xmlns:x14="http://schemas.microsoft.com/office/spreadsheetml/2009/9/main" uri="{725AE2AE-9491-48be-B2B4-4EB974FC3084}">
      <x14:pivotCacheDefinition pivotCacheId="13306069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050"/>
    <x v="0"/>
    <s v="CUST001"/>
    <x v="0"/>
    <s v="P008"/>
    <x v="0"/>
    <x v="0"/>
    <n v="4"/>
    <n v="149.99"/>
    <x v="0"/>
    <x v="0"/>
    <x v="0"/>
    <d v="2021-12-30T00:00:00"/>
    <n v="599.96"/>
    <n v="1180"/>
  </r>
  <r>
    <s v="TRX0003"/>
    <x v="1"/>
    <s v="CUST002"/>
    <x v="1"/>
    <s v="P008"/>
    <x v="0"/>
    <x v="0"/>
    <n v="2"/>
    <n v="149.99"/>
    <x v="1"/>
    <x v="0"/>
    <x v="1"/>
    <d v="2023-11-03T00:00:00"/>
    <n v="299.98"/>
    <n v="504"/>
  </r>
  <r>
    <s v="TRX0028"/>
    <x v="2"/>
    <s v="CUST002"/>
    <x v="1"/>
    <s v="P005"/>
    <x v="1"/>
    <x v="1"/>
    <n v="2"/>
    <n v="59.99"/>
    <x v="1"/>
    <x v="0"/>
    <x v="2"/>
    <d v="2023-09-22T00:00:00"/>
    <n v="119.98"/>
    <n v="453"/>
  </r>
  <r>
    <s v="TRX0096"/>
    <x v="3"/>
    <s v="CUST002"/>
    <x v="1"/>
    <s v="P010"/>
    <x v="2"/>
    <x v="2"/>
    <n v="2"/>
    <n v="89.99"/>
    <x v="0"/>
    <x v="1"/>
    <x v="1"/>
    <d v="2023-12-15T00:00:00"/>
    <n v="179.98"/>
    <n v="199"/>
  </r>
  <r>
    <s v="TRX0130"/>
    <x v="4"/>
    <s v="CUST002"/>
    <x v="1"/>
    <s v="P008"/>
    <x v="0"/>
    <x v="0"/>
    <n v="3"/>
    <n v="149.99"/>
    <x v="2"/>
    <x v="0"/>
    <x v="1"/>
    <d v="2023-05-22T00:00:00"/>
    <n v="449.97"/>
    <n v="362"/>
  </r>
  <r>
    <s v="TRX0142"/>
    <x v="5"/>
    <s v="CUST002"/>
    <x v="1"/>
    <s v="P005"/>
    <x v="1"/>
    <x v="1"/>
    <n v="3"/>
    <n v="59.99"/>
    <x v="0"/>
    <x v="2"/>
    <x v="0"/>
    <d v="2022-07-06T00:00:00"/>
    <n v="179.97"/>
    <n v="796"/>
  </r>
  <r>
    <s v="TRX0046"/>
    <x v="6"/>
    <s v="CUST003"/>
    <x v="2"/>
    <s v="P008"/>
    <x v="0"/>
    <x v="0"/>
    <n v="2"/>
    <n v="149.99"/>
    <x v="1"/>
    <x v="3"/>
    <x v="2"/>
    <d v="2023-11-09T00:00:00"/>
    <n v="299.98"/>
    <n v="407"/>
  </r>
  <r>
    <s v="TRX0091"/>
    <x v="7"/>
    <s v="CUST003"/>
    <x v="2"/>
    <s v="P007"/>
    <x v="3"/>
    <x v="0"/>
    <n v="3"/>
    <n v="299.99"/>
    <x v="1"/>
    <x v="3"/>
    <x v="0"/>
    <d v="2021-08-14T00:00:00"/>
    <n v="899.97"/>
    <n v="1241"/>
  </r>
  <r>
    <s v="TRX0113"/>
    <x v="8"/>
    <s v="CUST003"/>
    <x v="2"/>
    <s v="P002"/>
    <x v="4"/>
    <x v="2"/>
    <n v="2"/>
    <n v="699.99"/>
    <x v="0"/>
    <x v="2"/>
    <x v="1"/>
    <d v="2024-04-07T00:00:00"/>
    <n v="1399.98"/>
    <n v="92"/>
  </r>
  <r>
    <s v="TRX0143"/>
    <x v="9"/>
    <s v="CUST003"/>
    <x v="2"/>
    <s v="P007"/>
    <x v="3"/>
    <x v="0"/>
    <n v="2"/>
    <n v="299.99"/>
    <x v="1"/>
    <x v="0"/>
    <x v="2"/>
    <d v="2022-07-29T00:00:00"/>
    <n v="599.98"/>
    <n v="883"/>
  </r>
  <r>
    <s v="TRX0166"/>
    <x v="10"/>
    <s v="CUST003"/>
    <x v="2"/>
    <s v="P010"/>
    <x v="2"/>
    <x v="2"/>
    <n v="3"/>
    <n v="89.99"/>
    <x v="3"/>
    <x v="3"/>
    <x v="1"/>
    <d v="2024-01-16T00:00:00"/>
    <n v="269.97000000000003"/>
    <n v="381"/>
  </r>
  <r>
    <s v="TRX0168"/>
    <x v="11"/>
    <s v="CUST003"/>
    <x v="2"/>
    <s v="P008"/>
    <x v="0"/>
    <x v="0"/>
    <n v="3"/>
    <n v="149.99"/>
    <x v="0"/>
    <x v="1"/>
    <x v="0"/>
    <d v="2022-03-13T00:00:00"/>
    <n v="449.97"/>
    <n v="1074"/>
  </r>
  <r>
    <s v="TRX0174"/>
    <x v="12"/>
    <s v="CUST003"/>
    <x v="2"/>
    <s v="P007"/>
    <x v="3"/>
    <x v="0"/>
    <n v="4"/>
    <n v="299.99"/>
    <x v="1"/>
    <x v="1"/>
    <x v="1"/>
    <d v="2021-09-21T00:00:00"/>
    <n v="1199.96"/>
    <n v="1106"/>
  </r>
  <r>
    <s v="TRX0212"/>
    <x v="13"/>
    <s v="CUST003"/>
    <x v="2"/>
    <s v="P008"/>
    <x v="0"/>
    <x v="0"/>
    <n v="5"/>
    <n v="149.99"/>
    <x v="2"/>
    <x v="4"/>
    <x v="1"/>
    <d v="2024-01-04T00:00:00"/>
    <n v="749.95"/>
    <n v="105"/>
  </r>
  <r>
    <s v="TRX0220"/>
    <x v="14"/>
    <s v="CUST003"/>
    <x v="2"/>
    <s v="P008"/>
    <x v="0"/>
    <x v="0"/>
    <n v="2"/>
    <n v="149.99"/>
    <x v="1"/>
    <x v="2"/>
    <x v="1"/>
    <d v="2022-03-25T00:00:00"/>
    <n v="299.98"/>
    <n v="805"/>
  </r>
  <r>
    <s v="TRX0009"/>
    <x v="15"/>
    <s v="CUST004"/>
    <x v="3"/>
    <s v="P002"/>
    <x v="4"/>
    <x v="2"/>
    <n v="2"/>
    <n v="699.99"/>
    <x v="1"/>
    <x v="1"/>
    <x v="2"/>
    <d v="2023-03-07T00:00:00"/>
    <n v="1399.98"/>
    <n v="596"/>
  </r>
  <r>
    <s v="TRX0054"/>
    <x v="16"/>
    <s v="CUST004"/>
    <x v="3"/>
    <s v="P006"/>
    <x v="5"/>
    <x v="0"/>
    <n v="4"/>
    <n v="199.99"/>
    <x v="3"/>
    <x v="2"/>
    <x v="2"/>
    <d v="2021-09-19T00:00:00"/>
    <n v="799.96"/>
    <n v="1093"/>
  </r>
  <r>
    <s v="TRX0148"/>
    <x v="17"/>
    <s v="CUST004"/>
    <x v="3"/>
    <s v="P002"/>
    <x v="4"/>
    <x v="2"/>
    <n v="3"/>
    <n v="699.99"/>
    <x v="0"/>
    <x v="0"/>
    <x v="0"/>
    <d v="2022-01-22T00:00:00"/>
    <n v="2099.9699999999998"/>
    <n v="1036"/>
  </r>
  <r>
    <s v="TRX0208"/>
    <x v="18"/>
    <s v="CUST004"/>
    <x v="3"/>
    <s v="P010"/>
    <x v="2"/>
    <x v="2"/>
    <n v="5"/>
    <n v="89.99"/>
    <x v="2"/>
    <x v="2"/>
    <x v="0"/>
    <d v="2022-01-26T00:00:00"/>
    <n v="449.95"/>
    <n v="859"/>
  </r>
  <r>
    <s v="TRX0210"/>
    <x v="19"/>
    <s v="CUST004"/>
    <x v="3"/>
    <s v="P008"/>
    <x v="0"/>
    <x v="0"/>
    <n v="5"/>
    <n v="149.99"/>
    <x v="0"/>
    <x v="1"/>
    <x v="2"/>
    <d v="2022-12-06T00:00:00"/>
    <n v="749.95"/>
    <n v="707"/>
  </r>
  <r>
    <s v="TRX0082"/>
    <x v="20"/>
    <s v="CUST005"/>
    <x v="4"/>
    <s v="P005"/>
    <x v="1"/>
    <x v="1"/>
    <n v="3"/>
    <n v="59.99"/>
    <x v="1"/>
    <x v="1"/>
    <x v="1"/>
    <d v="2023-05-06T00:00:00"/>
    <n v="179.97"/>
    <n v="583"/>
  </r>
  <r>
    <s v="TRX0021"/>
    <x v="21"/>
    <s v="CUST006"/>
    <x v="5"/>
    <s v="P004"/>
    <x v="6"/>
    <x v="1"/>
    <n v="3"/>
    <n v="79.989999999999995"/>
    <x v="1"/>
    <x v="3"/>
    <x v="2"/>
    <d v="2023-04-30T00:00:00"/>
    <n v="239.97"/>
    <n v="389"/>
  </r>
  <r>
    <s v="TRX0088"/>
    <x v="22"/>
    <s v="CUST006"/>
    <x v="5"/>
    <s v="P010"/>
    <x v="2"/>
    <x v="2"/>
    <n v="5"/>
    <n v="89.99"/>
    <x v="1"/>
    <x v="1"/>
    <x v="1"/>
    <d v="2022-01-18T00:00:00"/>
    <n v="449.95"/>
    <n v="877"/>
  </r>
  <r>
    <s v="TRX0110"/>
    <x v="23"/>
    <s v="CUST006"/>
    <x v="5"/>
    <s v="P005"/>
    <x v="1"/>
    <x v="1"/>
    <n v="5"/>
    <n v="59.99"/>
    <x v="3"/>
    <x v="2"/>
    <x v="2"/>
    <d v="2022-03-22T00:00:00"/>
    <n v="299.95"/>
    <n v="1034"/>
  </r>
  <r>
    <s v="TRX0194"/>
    <x v="24"/>
    <s v="CUST006"/>
    <x v="5"/>
    <s v="P008"/>
    <x v="0"/>
    <x v="0"/>
    <n v="2"/>
    <n v="149.99"/>
    <x v="2"/>
    <x v="0"/>
    <x v="2"/>
    <d v="2022-09-19T00:00:00"/>
    <n v="299.98"/>
    <n v="605"/>
  </r>
  <r>
    <s v="TRX0237"/>
    <x v="7"/>
    <s v="CUST006"/>
    <x v="5"/>
    <s v="P003"/>
    <x v="7"/>
    <x v="2"/>
    <n v="5"/>
    <n v="149.99"/>
    <x v="0"/>
    <x v="2"/>
    <x v="1"/>
    <d v="2022-09-20T00:00:00"/>
    <n v="749.95"/>
    <n v="839"/>
  </r>
  <r>
    <s v="TRX0006"/>
    <x v="25"/>
    <s v="CUST007"/>
    <x v="6"/>
    <s v="P005"/>
    <x v="1"/>
    <x v="1"/>
    <n v="2"/>
    <n v="59.99"/>
    <x v="1"/>
    <x v="4"/>
    <x v="0"/>
    <d v="2023-08-14T00:00:00"/>
    <n v="119.98"/>
    <n v="346"/>
  </r>
  <r>
    <s v="TRX0008"/>
    <x v="26"/>
    <s v="CUST007"/>
    <x v="6"/>
    <s v="P008"/>
    <x v="0"/>
    <x v="0"/>
    <n v="3"/>
    <n v="149.99"/>
    <x v="3"/>
    <x v="4"/>
    <x v="0"/>
    <d v="2021-11-22T00:00:00"/>
    <n v="449.97"/>
    <n v="1126"/>
  </r>
  <r>
    <s v="TRX0020"/>
    <x v="27"/>
    <s v="CUST007"/>
    <x v="6"/>
    <s v="P003"/>
    <x v="7"/>
    <x v="2"/>
    <n v="4"/>
    <n v="149.99"/>
    <x v="3"/>
    <x v="3"/>
    <x v="1"/>
    <d v="2022-09-16T00:00:00"/>
    <n v="599.96"/>
    <n v="697"/>
  </r>
  <r>
    <s v="TRX0070"/>
    <x v="28"/>
    <s v="CUST007"/>
    <x v="6"/>
    <s v="P004"/>
    <x v="6"/>
    <x v="1"/>
    <n v="5"/>
    <n v="79.989999999999995"/>
    <x v="3"/>
    <x v="1"/>
    <x v="2"/>
    <d v="2023-02-24T00:00:00"/>
    <n v="399.95"/>
    <n v="495"/>
  </r>
  <r>
    <s v="TRX0081"/>
    <x v="29"/>
    <s v="CUST007"/>
    <x v="6"/>
    <s v="P008"/>
    <x v="0"/>
    <x v="0"/>
    <n v="1"/>
    <n v="149.99"/>
    <x v="3"/>
    <x v="2"/>
    <x v="0"/>
    <d v="2023-10-01T00:00:00"/>
    <n v="149.99"/>
    <n v="441"/>
  </r>
  <r>
    <s v="TRX0183"/>
    <x v="30"/>
    <s v="CUST007"/>
    <x v="6"/>
    <s v="P010"/>
    <x v="2"/>
    <x v="2"/>
    <n v="1"/>
    <n v="89.99"/>
    <x v="3"/>
    <x v="1"/>
    <x v="0"/>
    <d v="2022-07-18T00:00:00"/>
    <n v="89.99"/>
    <n v="885"/>
  </r>
  <r>
    <s v="TRX0015"/>
    <x v="31"/>
    <s v="CUST008"/>
    <x v="7"/>
    <s v="P002"/>
    <x v="4"/>
    <x v="2"/>
    <n v="5"/>
    <n v="699.99"/>
    <x v="0"/>
    <x v="0"/>
    <x v="0"/>
    <d v="2021-07-30T00:00:00"/>
    <n v="3499.95"/>
    <n v="1033"/>
  </r>
  <r>
    <s v="TRX0036"/>
    <x v="20"/>
    <s v="CUST008"/>
    <x v="7"/>
    <s v="P004"/>
    <x v="6"/>
    <x v="1"/>
    <n v="4"/>
    <n v="79.989999999999995"/>
    <x v="3"/>
    <x v="2"/>
    <x v="0"/>
    <d v="2022-12-26T00:00:00"/>
    <n v="319.95999999999998"/>
    <n v="714"/>
  </r>
  <r>
    <s v="TRX0112"/>
    <x v="5"/>
    <s v="CUST008"/>
    <x v="7"/>
    <s v="P004"/>
    <x v="6"/>
    <x v="1"/>
    <n v="4"/>
    <n v="79.989999999999995"/>
    <x v="1"/>
    <x v="4"/>
    <x v="2"/>
    <d v="2021-11-30T00:00:00"/>
    <n v="319.95999999999998"/>
    <n v="1014"/>
  </r>
  <r>
    <s v="TRX0150"/>
    <x v="32"/>
    <s v="CUST008"/>
    <x v="7"/>
    <s v="P007"/>
    <x v="3"/>
    <x v="0"/>
    <n v="2"/>
    <n v="299.99"/>
    <x v="3"/>
    <x v="2"/>
    <x v="0"/>
    <d v="2023-11-23T00:00:00"/>
    <n v="599.98"/>
    <n v="207"/>
  </r>
  <r>
    <s v="TRX0007"/>
    <x v="33"/>
    <s v="CUST009"/>
    <x v="8"/>
    <s v="P010"/>
    <x v="2"/>
    <x v="2"/>
    <n v="2"/>
    <n v="89.99"/>
    <x v="1"/>
    <x v="0"/>
    <x v="2"/>
    <d v="2021-08-30T00:00:00"/>
    <n v="179.98"/>
    <n v="1031"/>
  </r>
  <r>
    <s v="TRX0072"/>
    <x v="34"/>
    <s v="CUST009"/>
    <x v="8"/>
    <s v="P008"/>
    <x v="0"/>
    <x v="0"/>
    <n v="3"/>
    <n v="149.99"/>
    <x v="2"/>
    <x v="2"/>
    <x v="0"/>
    <d v="2021-07-18T00:00:00"/>
    <n v="449.97"/>
    <n v="1278"/>
  </r>
  <r>
    <s v="TRX0116"/>
    <x v="35"/>
    <s v="CUST009"/>
    <x v="8"/>
    <s v="P010"/>
    <x v="2"/>
    <x v="2"/>
    <n v="1"/>
    <n v="89.99"/>
    <x v="3"/>
    <x v="2"/>
    <x v="2"/>
    <d v="2024-02-24T00:00:00"/>
    <n v="89.99"/>
    <n v="410"/>
  </r>
  <r>
    <s v="TRX0135"/>
    <x v="36"/>
    <s v="CUST009"/>
    <x v="8"/>
    <s v="P001"/>
    <x v="8"/>
    <x v="2"/>
    <n v="3"/>
    <n v="899.99"/>
    <x v="0"/>
    <x v="2"/>
    <x v="0"/>
    <d v="2024-01-08T00:00:00"/>
    <n v="2699.97"/>
    <n v="106"/>
  </r>
  <r>
    <s v="TRX0156"/>
    <x v="37"/>
    <s v="CUST009"/>
    <x v="8"/>
    <s v="P010"/>
    <x v="2"/>
    <x v="2"/>
    <n v="1"/>
    <n v="89.99"/>
    <x v="2"/>
    <x v="3"/>
    <x v="1"/>
    <d v="2022-01-30T00:00:00"/>
    <n v="89.99"/>
    <n v="1064"/>
  </r>
  <r>
    <s v="TRX0101"/>
    <x v="38"/>
    <s v="CUST010"/>
    <x v="9"/>
    <s v="P010"/>
    <x v="2"/>
    <x v="2"/>
    <n v="1"/>
    <n v="89.99"/>
    <x v="2"/>
    <x v="4"/>
    <x v="0"/>
    <d v="2024-04-11T00:00:00"/>
    <n v="89.99"/>
    <n v="120"/>
  </r>
  <r>
    <s v="TRX0109"/>
    <x v="39"/>
    <s v="CUST010"/>
    <x v="9"/>
    <s v="P008"/>
    <x v="0"/>
    <x v="0"/>
    <n v="2"/>
    <n v="149.99"/>
    <x v="2"/>
    <x v="0"/>
    <x v="1"/>
    <d v="2022-10-14T00:00:00"/>
    <n v="299.98"/>
    <n v="756"/>
  </r>
  <r>
    <s v="TRX0134"/>
    <x v="40"/>
    <s v="CUST010"/>
    <x v="9"/>
    <s v="P002"/>
    <x v="4"/>
    <x v="2"/>
    <n v="2"/>
    <n v="699.99"/>
    <x v="1"/>
    <x v="4"/>
    <x v="2"/>
    <d v="2022-08-08T00:00:00"/>
    <n v="1399.98"/>
    <n v="629"/>
  </r>
  <r>
    <s v="TRX0146"/>
    <x v="41"/>
    <s v="CUST010"/>
    <x v="9"/>
    <s v="P005"/>
    <x v="1"/>
    <x v="1"/>
    <n v="2"/>
    <n v="59.99"/>
    <x v="2"/>
    <x v="1"/>
    <x v="2"/>
    <d v="2022-01-18T00:00:00"/>
    <n v="119.98"/>
    <n v="993"/>
  </r>
  <r>
    <s v="TRX0030"/>
    <x v="42"/>
    <s v="CUST011"/>
    <x v="10"/>
    <s v="P001"/>
    <x v="8"/>
    <x v="2"/>
    <n v="4"/>
    <n v="899.99"/>
    <x v="0"/>
    <x v="1"/>
    <x v="2"/>
    <d v="2022-06-22T00:00:00"/>
    <n v="3599.96"/>
    <n v="952"/>
  </r>
  <r>
    <s v="TRX0111"/>
    <x v="43"/>
    <s v="CUST011"/>
    <x v="10"/>
    <s v="P003"/>
    <x v="7"/>
    <x v="2"/>
    <n v="1"/>
    <n v="149.99"/>
    <x v="0"/>
    <x v="2"/>
    <x v="0"/>
    <d v="2021-10-13T00:00:00"/>
    <n v="149.99"/>
    <n v="1072"/>
  </r>
  <r>
    <s v="TRX0137"/>
    <x v="44"/>
    <s v="CUST011"/>
    <x v="10"/>
    <s v="P009"/>
    <x v="9"/>
    <x v="2"/>
    <n v="4"/>
    <n v="249.99"/>
    <x v="0"/>
    <x v="2"/>
    <x v="1"/>
    <d v="2023-06-21T00:00:00"/>
    <n v="999.96"/>
    <n v="531"/>
  </r>
  <r>
    <s v="TRX0004"/>
    <x v="45"/>
    <s v="CUST012"/>
    <x v="11"/>
    <s v="P010"/>
    <x v="2"/>
    <x v="2"/>
    <n v="5"/>
    <n v="89.99"/>
    <x v="1"/>
    <x v="4"/>
    <x v="1"/>
    <d v="2022-12-24T00:00:00"/>
    <n v="449.95"/>
    <n v="505"/>
  </r>
  <r>
    <s v="TRX0060"/>
    <x v="46"/>
    <s v="CUST012"/>
    <x v="11"/>
    <s v="P010"/>
    <x v="2"/>
    <x v="2"/>
    <n v="3"/>
    <n v="89.99"/>
    <x v="2"/>
    <x v="4"/>
    <x v="1"/>
    <d v="2021-08-12T00:00:00"/>
    <n v="269.97000000000003"/>
    <n v="1183"/>
  </r>
  <r>
    <s v="TRX0076"/>
    <x v="47"/>
    <s v="CUST012"/>
    <x v="11"/>
    <s v="P009"/>
    <x v="9"/>
    <x v="2"/>
    <n v="4"/>
    <n v="249.99"/>
    <x v="2"/>
    <x v="0"/>
    <x v="0"/>
    <d v="2022-04-08T00:00:00"/>
    <n v="999.96"/>
    <n v="948"/>
  </r>
  <r>
    <s v="TRX0104"/>
    <x v="48"/>
    <s v="CUST012"/>
    <x v="11"/>
    <s v="P001"/>
    <x v="8"/>
    <x v="2"/>
    <n v="4"/>
    <n v="899.99"/>
    <x v="2"/>
    <x v="2"/>
    <x v="1"/>
    <d v="2023-03-08T00:00:00"/>
    <n v="3599.96"/>
    <n v="478"/>
  </r>
  <r>
    <s v="TRX0115"/>
    <x v="49"/>
    <s v="CUST012"/>
    <x v="11"/>
    <s v="P010"/>
    <x v="2"/>
    <x v="2"/>
    <n v="2"/>
    <n v="89.99"/>
    <x v="2"/>
    <x v="3"/>
    <x v="1"/>
    <d v="2021-10-02T00:00:00"/>
    <n v="179.98"/>
    <n v="988"/>
  </r>
  <r>
    <s v="TRX0181"/>
    <x v="50"/>
    <s v="CUST012"/>
    <x v="11"/>
    <s v="P007"/>
    <x v="3"/>
    <x v="0"/>
    <n v="2"/>
    <n v="299.99"/>
    <x v="3"/>
    <x v="1"/>
    <x v="2"/>
    <d v="2022-01-08T00:00:00"/>
    <n v="599.98"/>
    <n v="994"/>
  </r>
  <r>
    <s v="TRX0232"/>
    <x v="51"/>
    <s v="CUST012"/>
    <x v="11"/>
    <s v="P007"/>
    <x v="3"/>
    <x v="0"/>
    <n v="3"/>
    <n v="299.99"/>
    <x v="2"/>
    <x v="2"/>
    <x v="2"/>
    <d v="2022-09-20T00:00:00"/>
    <n v="899.97"/>
    <n v="610"/>
  </r>
  <r>
    <s v="TRX0239"/>
    <x v="52"/>
    <s v="CUST012"/>
    <x v="11"/>
    <s v="P002"/>
    <x v="4"/>
    <x v="2"/>
    <n v="4"/>
    <n v="699.99"/>
    <x v="1"/>
    <x v="2"/>
    <x v="0"/>
    <d v="2021-08-01T00:00:00"/>
    <n v="2799.96"/>
    <n v="1004"/>
  </r>
  <r>
    <s v="TRX0018"/>
    <x v="53"/>
    <s v="CUST013"/>
    <x v="12"/>
    <s v="P003"/>
    <x v="7"/>
    <x v="2"/>
    <n v="1"/>
    <n v="149.99"/>
    <x v="1"/>
    <x v="1"/>
    <x v="0"/>
    <d v="2022-12-14T00:00:00"/>
    <n v="149.99"/>
    <n v="575"/>
  </r>
  <r>
    <s v="TRX0023"/>
    <x v="54"/>
    <s v="CUST013"/>
    <x v="12"/>
    <s v="P009"/>
    <x v="9"/>
    <x v="2"/>
    <n v="3"/>
    <n v="249.99"/>
    <x v="2"/>
    <x v="1"/>
    <x v="1"/>
    <d v="2022-01-14T00:00:00"/>
    <n v="749.97"/>
    <n v="821"/>
  </r>
  <r>
    <s v="TRX0133"/>
    <x v="55"/>
    <s v="CUST013"/>
    <x v="12"/>
    <s v="P003"/>
    <x v="7"/>
    <x v="2"/>
    <n v="2"/>
    <n v="149.99"/>
    <x v="1"/>
    <x v="3"/>
    <x v="1"/>
    <d v="2021-10-06T00:00:00"/>
    <n v="299.98"/>
    <n v="1152"/>
  </r>
  <r>
    <s v="TRX0234"/>
    <x v="56"/>
    <s v="CUST013"/>
    <x v="12"/>
    <s v="P009"/>
    <x v="9"/>
    <x v="2"/>
    <n v="5"/>
    <n v="249.99"/>
    <x v="2"/>
    <x v="2"/>
    <x v="0"/>
    <d v="2022-05-26T00:00:00"/>
    <n v="1249.95"/>
    <n v="742"/>
  </r>
  <r>
    <s v="TRX0244"/>
    <x v="57"/>
    <s v="CUST013"/>
    <x v="12"/>
    <s v="P001"/>
    <x v="8"/>
    <x v="2"/>
    <n v="5"/>
    <n v="899.99"/>
    <x v="3"/>
    <x v="3"/>
    <x v="0"/>
    <d v="2022-12-04T00:00:00"/>
    <n v="4499.95"/>
    <n v="598"/>
  </r>
  <r>
    <s v="TRX0119"/>
    <x v="58"/>
    <s v="CUST014"/>
    <x v="13"/>
    <s v="P008"/>
    <x v="0"/>
    <x v="0"/>
    <n v="3"/>
    <n v="149.99"/>
    <x v="0"/>
    <x v="2"/>
    <x v="2"/>
    <d v="2022-11-21T00:00:00"/>
    <n v="449.97"/>
    <n v="674"/>
  </r>
  <r>
    <s v="TRX0164"/>
    <x v="26"/>
    <s v="CUST014"/>
    <x v="13"/>
    <s v="P003"/>
    <x v="7"/>
    <x v="2"/>
    <n v="2"/>
    <n v="149.99"/>
    <x v="3"/>
    <x v="0"/>
    <x v="1"/>
    <d v="2023-12-20T00:00:00"/>
    <n v="299.98"/>
    <n v="368"/>
  </r>
  <r>
    <s v="TRX0206"/>
    <x v="59"/>
    <s v="CUST014"/>
    <x v="13"/>
    <s v="P008"/>
    <x v="0"/>
    <x v="0"/>
    <n v="2"/>
    <n v="149.99"/>
    <x v="1"/>
    <x v="3"/>
    <x v="0"/>
    <d v="2023-06-24T00:00:00"/>
    <n v="299.98"/>
    <n v="522"/>
  </r>
  <r>
    <s v="TRX0235"/>
    <x v="45"/>
    <s v="CUST014"/>
    <x v="13"/>
    <s v="P004"/>
    <x v="6"/>
    <x v="1"/>
    <n v="3"/>
    <n v="79.989999999999995"/>
    <x v="0"/>
    <x v="2"/>
    <x v="1"/>
    <d v="2023-03-27T00:00:00"/>
    <n v="239.97"/>
    <n v="412"/>
  </r>
  <r>
    <s v="TRX0118"/>
    <x v="60"/>
    <s v="CUST015"/>
    <x v="14"/>
    <s v="P008"/>
    <x v="0"/>
    <x v="0"/>
    <n v="2"/>
    <n v="149.99"/>
    <x v="1"/>
    <x v="3"/>
    <x v="1"/>
    <d v="2022-06-16T00:00:00"/>
    <n v="299.98"/>
    <n v="977"/>
  </r>
  <r>
    <s v="TRX0129"/>
    <x v="61"/>
    <s v="CUST015"/>
    <x v="14"/>
    <s v="P006"/>
    <x v="5"/>
    <x v="0"/>
    <n v="1"/>
    <n v="199.99"/>
    <x v="3"/>
    <x v="2"/>
    <x v="0"/>
    <d v="2023-01-27T00:00:00"/>
    <n v="199.99"/>
    <n v="611"/>
  </r>
  <r>
    <s v="TRX0229"/>
    <x v="62"/>
    <s v="CUST015"/>
    <x v="14"/>
    <s v="P005"/>
    <x v="1"/>
    <x v="1"/>
    <n v="4"/>
    <n v="59.99"/>
    <x v="1"/>
    <x v="0"/>
    <x v="0"/>
    <d v="2023-05-24T00:00:00"/>
    <n v="239.96"/>
    <n v="645"/>
  </r>
  <r>
    <s v="TRX0055"/>
    <x v="63"/>
    <s v="CUST016"/>
    <x v="15"/>
    <s v="P002"/>
    <x v="4"/>
    <x v="2"/>
    <n v="2"/>
    <n v="699.99"/>
    <x v="3"/>
    <x v="2"/>
    <x v="1"/>
    <d v="2023-12-14T00:00:00"/>
    <n v="1399.98"/>
    <n v="299"/>
  </r>
  <r>
    <s v="TRX0059"/>
    <x v="34"/>
    <s v="CUST016"/>
    <x v="15"/>
    <s v="P007"/>
    <x v="3"/>
    <x v="0"/>
    <n v="5"/>
    <n v="299.99"/>
    <x v="3"/>
    <x v="1"/>
    <x v="2"/>
    <d v="2021-08-23T00:00:00"/>
    <n v="1499.95"/>
    <n v="1242"/>
  </r>
  <r>
    <s v="TRX0062"/>
    <x v="64"/>
    <s v="CUST016"/>
    <x v="15"/>
    <s v="P010"/>
    <x v="2"/>
    <x v="2"/>
    <n v="5"/>
    <n v="89.99"/>
    <x v="0"/>
    <x v="0"/>
    <x v="1"/>
    <d v="2023-08-02T00:00:00"/>
    <n v="449.95"/>
    <n v="571"/>
  </r>
  <r>
    <s v="TRX0065"/>
    <x v="65"/>
    <s v="CUST016"/>
    <x v="15"/>
    <s v="P008"/>
    <x v="0"/>
    <x v="0"/>
    <n v="2"/>
    <n v="149.99"/>
    <x v="2"/>
    <x v="0"/>
    <x v="2"/>
    <d v="2021-12-12T00:00:00"/>
    <n v="299.98"/>
    <n v="967"/>
  </r>
  <r>
    <s v="TRX0029"/>
    <x v="66"/>
    <s v="CUST017"/>
    <x v="16"/>
    <s v="P006"/>
    <x v="5"/>
    <x v="0"/>
    <n v="5"/>
    <n v="199.99"/>
    <x v="1"/>
    <x v="3"/>
    <x v="0"/>
    <d v="2021-08-04T00:00:00"/>
    <n v="999.95"/>
    <n v="1015"/>
  </r>
  <r>
    <s v="TRX0083"/>
    <x v="67"/>
    <s v="CUST017"/>
    <x v="16"/>
    <s v="P007"/>
    <x v="3"/>
    <x v="0"/>
    <n v="5"/>
    <n v="299.99"/>
    <x v="1"/>
    <x v="0"/>
    <x v="0"/>
    <d v="2023-08-04T00:00:00"/>
    <n v="1499.95"/>
    <n v="568"/>
  </r>
  <r>
    <s v="TRX0094"/>
    <x v="55"/>
    <s v="CUST017"/>
    <x v="16"/>
    <s v="P009"/>
    <x v="9"/>
    <x v="2"/>
    <n v="5"/>
    <n v="249.99"/>
    <x v="1"/>
    <x v="1"/>
    <x v="1"/>
    <d v="2021-10-16T00:00:00"/>
    <n v="1249.95"/>
    <n v="1142"/>
  </r>
  <r>
    <s v="TRX0117"/>
    <x v="68"/>
    <s v="CUST017"/>
    <x v="16"/>
    <s v="P010"/>
    <x v="2"/>
    <x v="2"/>
    <n v="1"/>
    <n v="89.99"/>
    <x v="1"/>
    <x v="4"/>
    <x v="2"/>
    <d v="2023-08-03T00:00:00"/>
    <n v="89.99"/>
    <n v="303"/>
  </r>
  <r>
    <s v="TRX0161"/>
    <x v="69"/>
    <s v="CUST017"/>
    <x v="16"/>
    <s v="P004"/>
    <x v="6"/>
    <x v="1"/>
    <n v="1"/>
    <n v="79.989999999999995"/>
    <x v="1"/>
    <x v="0"/>
    <x v="2"/>
    <d v="2022-05-12T00:00:00"/>
    <n v="79.989999999999995"/>
    <n v="852"/>
  </r>
  <r>
    <s v="TRX0192"/>
    <x v="70"/>
    <s v="CUST017"/>
    <x v="16"/>
    <s v="P010"/>
    <x v="2"/>
    <x v="2"/>
    <n v="1"/>
    <n v="89.99"/>
    <x v="0"/>
    <x v="0"/>
    <x v="0"/>
    <d v="2022-08-29T00:00:00"/>
    <n v="89.99"/>
    <n v="673"/>
  </r>
  <r>
    <s v="TRX0199"/>
    <x v="71"/>
    <s v="CUST017"/>
    <x v="16"/>
    <s v="P008"/>
    <x v="0"/>
    <x v="0"/>
    <n v="4"/>
    <n v="149.99"/>
    <x v="1"/>
    <x v="1"/>
    <x v="0"/>
    <d v="2023-12-03T00:00:00"/>
    <n v="599.96"/>
    <n v="461"/>
  </r>
  <r>
    <s v="TRX0227"/>
    <x v="72"/>
    <s v="CUST017"/>
    <x v="16"/>
    <s v="P008"/>
    <x v="0"/>
    <x v="0"/>
    <n v="2"/>
    <n v="149.99"/>
    <x v="1"/>
    <x v="1"/>
    <x v="2"/>
    <d v="2023-05-22T00:00:00"/>
    <n v="299.98"/>
    <n v="650"/>
  </r>
  <r>
    <s v="TRX0240"/>
    <x v="73"/>
    <s v="CUST017"/>
    <x v="16"/>
    <s v="P005"/>
    <x v="1"/>
    <x v="1"/>
    <n v="3"/>
    <n v="59.99"/>
    <x v="3"/>
    <x v="3"/>
    <x v="2"/>
    <d v="2023-03-22T00:00:00"/>
    <n v="179.97"/>
    <n v="396"/>
  </r>
  <r>
    <s v="TRX0080"/>
    <x v="74"/>
    <s v="CUST018"/>
    <x v="17"/>
    <s v="P009"/>
    <x v="9"/>
    <x v="2"/>
    <n v="2"/>
    <n v="249.99"/>
    <x v="1"/>
    <x v="4"/>
    <x v="1"/>
    <d v="2023-08-26T00:00:00"/>
    <n v="499.98"/>
    <n v="336"/>
  </r>
  <r>
    <s v="TRX0114"/>
    <x v="8"/>
    <s v="CUST018"/>
    <x v="17"/>
    <s v="P010"/>
    <x v="2"/>
    <x v="2"/>
    <n v="5"/>
    <n v="89.99"/>
    <x v="3"/>
    <x v="4"/>
    <x v="1"/>
    <d v="2023-08-23T00:00:00"/>
    <n v="449.95"/>
    <n v="320"/>
  </r>
  <r>
    <s v="TRX0173"/>
    <x v="75"/>
    <s v="CUST018"/>
    <x v="17"/>
    <s v="P002"/>
    <x v="4"/>
    <x v="2"/>
    <n v="5"/>
    <n v="699.99"/>
    <x v="1"/>
    <x v="2"/>
    <x v="0"/>
    <d v="2023-03-23T00:00:00"/>
    <n v="3499.95"/>
    <n v="573"/>
  </r>
  <r>
    <s v="TRX0214"/>
    <x v="76"/>
    <s v="CUST018"/>
    <x v="17"/>
    <s v="P001"/>
    <x v="8"/>
    <x v="2"/>
    <n v="3"/>
    <n v="899.99"/>
    <x v="1"/>
    <x v="2"/>
    <x v="0"/>
    <d v="2022-02-21T00:00:00"/>
    <n v="2699.97"/>
    <n v="1095"/>
  </r>
  <r>
    <s v="TRX0231"/>
    <x v="77"/>
    <s v="CUST018"/>
    <x v="17"/>
    <s v="P002"/>
    <x v="4"/>
    <x v="2"/>
    <n v="5"/>
    <n v="699.99"/>
    <x v="1"/>
    <x v="0"/>
    <x v="2"/>
    <d v="2023-08-29T00:00:00"/>
    <n v="3499.95"/>
    <n v="245"/>
  </r>
  <r>
    <s v="TRX0002"/>
    <x v="78"/>
    <s v="CUST019"/>
    <x v="18"/>
    <s v="P007"/>
    <x v="3"/>
    <x v="0"/>
    <n v="3"/>
    <n v="299.99"/>
    <x v="1"/>
    <x v="1"/>
    <x v="2"/>
    <d v="2022-06-20T00:00:00"/>
    <n v="899.97"/>
    <n v="769"/>
  </r>
  <r>
    <s v="TRX0042"/>
    <x v="79"/>
    <s v="CUST019"/>
    <x v="18"/>
    <s v="P004"/>
    <x v="6"/>
    <x v="1"/>
    <n v="1"/>
    <n v="79.989999999999995"/>
    <x v="1"/>
    <x v="4"/>
    <x v="0"/>
    <d v="2022-12-22T00:00:00"/>
    <n v="79.989999999999995"/>
    <n v="526"/>
  </r>
  <r>
    <s v="TRX0056"/>
    <x v="80"/>
    <s v="CUST019"/>
    <x v="18"/>
    <s v="P010"/>
    <x v="2"/>
    <x v="2"/>
    <n v="2"/>
    <n v="89.99"/>
    <x v="2"/>
    <x v="3"/>
    <x v="1"/>
    <d v="2022-01-03T00:00:00"/>
    <n v="179.98"/>
    <n v="1096"/>
  </r>
  <r>
    <s v="TRX0077"/>
    <x v="43"/>
    <s v="CUST019"/>
    <x v="18"/>
    <s v="P010"/>
    <x v="2"/>
    <x v="2"/>
    <n v="5"/>
    <n v="89.99"/>
    <x v="2"/>
    <x v="2"/>
    <x v="1"/>
    <d v="2021-09-07T00:00:00"/>
    <n v="449.95"/>
    <n v="1108"/>
  </r>
  <r>
    <s v="TRX0085"/>
    <x v="81"/>
    <s v="CUST019"/>
    <x v="18"/>
    <s v="P007"/>
    <x v="3"/>
    <x v="0"/>
    <n v="3"/>
    <n v="299.99"/>
    <x v="2"/>
    <x v="1"/>
    <x v="0"/>
    <d v="2023-09-05T00:00:00"/>
    <n v="899.97"/>
    <n v="402"/>
  </r>
  <r>
    <s v="TRX0163"/>
    <x v="30"/>
    <s v="CUST019"/>
    <x v="18"/>
    <s v="P001"/>
    <x v="8"/>
    <x v="2"/>
    <n v="5"/>
    <n v="899.99"/>
    <x v="3"/>
    <x v="2"/>
    <x v="0"/>
    <d v="2022-03-05T00:00:00"/>
    <n v="4499.95"/>
    <n v="1020"/>
  </r>
  <r>
    <s v="TRX0228"/>
    <x v="74"/>
    <s v="CUST019"/>
    <x v="18"/>
    <s v="P007"/>
    <x v="3"/>
    <x v="0"/>
    <n v="1"/>
    <n v="299.99"/>
    <x v="1"/>
    <x v="3"/>
    <x v="2"/>
    <d v="2023-02-25T00:00:00"/>
    <n v="299.99"/>
    <n v="518"/>
  </r>
  <r>
    <s v="TRX0075"/>
    <x v="27"/>
    <s v="CUST020"/>
    <x v="19"/>
    <s v="P009"/>
    <x v="9"/>
    <x v="2"/>
    <n v="5"/>
    <n v="249.99"/>
    <x v="0"/>
    <x v="2"/>
    <x v="1"/>
    <d v="2022-08-09T00:00:00"/>
    <n v="1249.95"/>
    <n v="735"/>
  </r>
  <r>
    <s v="TRX0086"/>
    <x v="8"/>
    <s v="CUST020"/>
    <x v="19"/>
    <s v="P008"/>
    <x v="0"/>
    <x v="0"/>
    <n v="1"/>
    <n v="149.99"/>
    <x v="0"/>
    <x v="4"/>
    <x v="2"/>
    <d v="2021-08-13T00:00:00"/>
    <n v="149.99"/>
    <n v="1060"/>
  </r>
  <r>
    <s v="TRX0090"/>
    <x v="82"/>
    <s v="CUST020"/>
    <x v="19"/>
    <s v="P009"/>
    <x v="9"/>
    <x v="2"/>
    <n v="1"/>
    <n v="249.99"/>
    <x v="2"/>
    <x v="4"/>
    <x v="1"/>
    <d v="2022-09-24T00:00:00"/>
    <n v="249.99"/>
    <n v="777"/>
  </r>
  <r>
    <s v="TRX0213"/>
    <x v="83"/>
    <s v="CUST020"/>
    <x v="19"/>
    <s v="P010"/>
    <x v="2"/>
    <x v="2"/>
    <n v="5"/>
    <n v="89.99"/>
    <x v="0"/>
    <x v="3"/>
    <x v="2"/>
    <d v="2022-05-23T00:00:00"/>
    <n v="449.95"/>
    <n v="1041"/>
  </r>
  <r>
    <s v="TRX0041"/>
    <x v="84"/>
    <s v="CUST021"/>
    <x v="20"/>
    <s v="P001"/>
    <x v="8"/>
    <x v="2"/>
    <n v="1"/>
    <n v="899.99"/>
    <x v="2"/>
    <x v="0"/>
    <x v="1"/>
    <d v="2022-01-17T00:00:00"/>
    <n v="899.99"/>
    <n v="854"/>
  </r>
  <r>
    <s v="TRX0045"/>
    <x v="55"/>
    <s v="CUST021"/>
    <x v="20"/>
    <s v="P007"/>
    <x v="3"/>
    <x v="0"/>
    <n v="3"/>
    <n v="299.99"/>
    <x v="1"/>
    <x v="3"/>
    <x v="1"/>
    <d v="2022-04-08T00:00:00"/>
    <n v="899.97"/>
    <n v="968"/>
  </r>
  <r>
    <s v="TRX0078"/>
    <x v="33"/>
    <s v="CUST021"/>
    <x v="20"/>
    <s v="P004"/>
    <x v="6"/>
    <x v="1"/>
    <n v="1"/>
    <n v="79.989999999999995"/>
    <x v="0"/>
    <x v="1"/>
    <x v="1"/>
    <d v="2024-03-01T00:00:00"/>
    <n v="79.989999999999995"/>
    <n v="117"/>
  </r>
  <r>
    <s v="TRX0089"/>
    <x v="85"/>
    <s v="CUST021"/>
    <x v="20"/>
    <s v="P006"/>
    <x v="5"/>
    <x v="0"/>
    <n v="3"/>
    <n v="199.99"/>
    <x v="1"/>
    <x v="1"/>
    <x v="2"/>
    <d v="2022-06-23T00:00:00"/>
    <n v="599.97"/>
    <n v="969"/>
  </r>
  <r>
    <s v="TRX0139"/>
    <x v="86"/>
    <s v="CUST021"/>
    <x v="20"/>
    <s v="P005"/>
    <x v="1"/>
    <x v="1"/>
    <n v="3"/>
    <n v="59.99"/>
    <x v="0"/>
    <x v="3"/>
    <x v="0"/>
    <d v="2023-12-02T00:00:00"/>
    <n v="179.97"/>
    <n v="137"/>
  </r>
  <r>
    <s v="TRX0171"/>
    <x v="87"/>
    <s v="CUST021"/>
    <x v="20"/>
    <s v="P007"/>
    <x v="3"/>
    <x v="0"/>
    <n v="2"/>
    <n v="299.99"/>
    <x v="0"/>
    <x v="3"/>
    <x v="2"/>
    <d v="2022-06-09T00:00:00"/>
    <n v="599.98"/>
    <n v="928"/>
  </r>
  <r>
    <s v="TRX0040"/>
    <x v="45"/>
    <s v="CUST022"/>
    <x v="21"/>
    <s v="P007"/>
    <x v="3"/>
    <x v="0"/>
    <n v="5"/>
    <n v="299.99"/>
    <x v="0"/>
    <x v="2"/>
    <x v="2"/>
    <d v="2023-08-30T00:00:00"/>
    <n v="1499.95"/>
    <n v="256"/>
  </r>
  <r>
    <s v="TRX0052"/>
    <x v="28"/>
    <s v="CUST022"/>
    <x v="21"/>
    <s v="P010"/>
    <x v="2"/>
    <x v="2"/>
    <n v="1"/>
    <n v="89.99"/>
    <x v="1"/>
    <x v="3"/>
    <x v="0"/>
    <d v="2022-02-19T00:00:00"/>
    <n v="89.99"/>
    <n v="865"/>
  </r>
  <r>
    <s v="TRX0126"/>
    <x v="88"/>
    <s v="CUST022"/>
    <x v="21"/>
    <s v="P005"/>
    <x v="1"/>
    <x v="1"/>
    <n v="4"/>
    <n v="59.99"/>
    <x v="3"/>
    <x v="2"/>
    <x v="0"/>
    <d v="2022-01-03T00:00:00"/>
    <n v="239.96"/>
    <n v="1118"/>
  </r>
  <r>
    <s v="TRX0138"/>
    <x v="89"/>
    <s v="CUST022"/>
    <x v="21"/>
    <s v="P008"/>
    <x v="0"/>
    <x v="0"/>
    <n v="1"/>
    <n v="149.99"/>
    <x v="2"/>
    <x v="0"/>
    <x v="0"/>
    <d v="2023-06-26T00:00:00"/>
    <n v="149.99"/>
    <n v="305"/>
  </r>
  <r>
    <s v="TRX0019"/>
    <x v="90"/>
    <s v="CUST023"/>
    <x v="22"/>
    <s v="P007"/>
    <x v="3"/>
    <x v="0"/>
    <n v="3"/>
    <n v="299.99"/>
    <x v="2"/>
    <x v="0"/>
    <x v="1"/>
    <d v="2023-11-04T00:00:00"/>
    <n v="899.97"/>
    <n v="505"/>
  </r>
  <r>
    <s v="TRX0057"/>
    <x v="91"/>
    <s v="CUST023"/>
    <x v="22"/>
    <s v="P009"/>
    <x v="9"/>
    <x v="2"/>
    <n v="5"/>
    <n v="249.99"/>
    <x v="2"/>
    <x v="3"/>
    <x v="0"/>
    <d v="2022-11-16T00:00:00"/>
    <n v="1249.95"/>
    <n v="716"/>
  </r>
  <r>
    <s v="TRX0074"/>
    <x v="92"/>
    <s v="CUST023"/>
    <x v="22"/>
    <s v="P009"/>
    <x v="9"/>
    <x v="2"/>
    <n v="1"/>
    <n v="249.99"/>
    <x v="3"/>
    <x v="4"/>
    <x v="1"/>
    <d v="2024-02-10T00:00:00"/>
    <n v="249.99"/>
    <n v="205"/>
  </r>
  <r>
    <s v="TRX0154"/>
    <x v="49"/>
    <s v="CUST023"/>
    <x v="22"/>
    <s v="P001"/>
    <x v="8"/>
    <x v="2"/>
    <n v="5"/>
    <n v="899.99"/>
    <x v="2"/>
    <x v="3"/>
    <x v="0"/>
    <d v="2023-02-17T00:00:00"/>
    <n v="4499.95"/>
    <n v="485"/>
  </r>
  <r>
    <s v="TRX0155"/>
    <x v="93"/>
    <s v="CUST023"/>
    <x v="22"/>
    <s v="P009"/>
    <x v="9"/>
    <x v="2"/>
    <n v="3"/>
    <n v="249.99"/>
    <x v="1"/>
    <x v="1"/>
    <x v="2"/>
    <d v="2021-08-17T00:00:00"/>
    <n v="749.97"/>
    <n v="968"/>
  </r>
  <r>
    <s v="TRX0172"/>
    <x v="47"/>
    <s v="CUST023"/>
    <x v="22"/>
    <s v="P005"/>
    <x v="1"/>
    <x v="1"/>
    <n v="5"/>
    <n v="59.99"/>
    <x v="0"/>
    <x v="0"/>
    <x v="1"/>
    <d v="2022-05-13T00:00:00"/>
    <n v="299.95"/>
    <n v="913"/>
  </r>
  <r>
    <s v="TRX0196"/>
    <x v="85"/>
    <s v="CUST023"/>
    <x v="22"/>
    <s v="P010"/>
    <x v="2"/>
    <x v="2"/>
    <n v="2"/>
    <n v="89.99"/>
    <x v="0"/>
    <x v="1"/>
    <x v="2"/>
    <d v="2023-11-27T00:00:00"/>
    <n v="179.98"/>
    <n v="447"/>
  </r>
  <r>
    <s v="TRX0233"/>
    <x v="94"/>
    <s v="CUST023"/>
    <x v="22"/>
    <s v="P010"/>
    <x v="2"/>
    <x v="2"/>
    <n v="2"/>
    <n v="89.99"/>
    <x v="2"/>
    <x v="0"/>
    <x v="1"/>
    <d v="2024-01-04T00:00:00"/>
    <n v="179.98"/>
    <n v="428"/>
  </r>
  <r>
    <s v="TRX0013"/>
    <x v="1"/>
    <s v="CUST024"/>
    <x v="23"/>
    <s v="P001"/>
    <x v="8"/>
    <x v="2"/>
    <n v="3"/>
    <n v="899.99"/>
    <x v="0"/>
    <x v="4"/>
    <x v="2"/>
    <d v="2023-02-18T00:00:00"/>
    <n v="2699.97"/>
    <n v="762"/>
  </r>
  <r>
    <s v="TRX0066"/>
    <x v="95"/>
    <s v="CUST024"/>
    <x v="23"/>
    <s v="P002"/>
    <x v="4"/>
    <x v="2"/>
    <n v="4"/>
    <n v="699.99"/>
    <x v="2"/>
    <x v="4"/>
    <x v="1"/>
    <d v="2022-05-22T00:00:00"/>
    <n v="2799.96"/>
    <n v="927"/>
  </r>
  <r>
    <s v="TRX0092"/>
    <x v="73"/>
    <s v="CUST024"/>
    <x v="23"/>
    <s v="P005"/>
    <x v="1"/>
    <x v="1"/>
    <n v="2"/>
    <n v="59.99"/>
    <x v="1"/>
    <x v="0"/>
    <x v="0"/>
    <d v="2022-07-04T00:00:00"/>
    <n v="119.98"/>
    <n v="657"/>
  </r>
  <r>
    <s v="TRX0108"/>
    <x v="96"/>
    <s v="CUST024"/>
    <x v="23"/>
    <s v="P007"/>
    <x v="3"/>
    <x v="0"/>
    <n v="3"/>
    <n v="299.99"/>
    <x v="2"/>
    <x v="1"/>
    <x v="1"/>
    <d v="2021-10-25T00:00:00"/>
    <n v="899.97"/>
    <n v="1053"/>
  </r>
  <r>
    <s v="TRX0159"/>
    <x v="97"/>
    <s v="CUST024"/>
    <x v="23"/>
    <s v="P009"/>
    <x v="9"/>
    <x v="2"/>
    <n v="4"/>
    <n v="249.99"/>
    <x v="3"/>
    <x v="1"/>
    <x v="1"/>
    <d v="2023-10-18T00:00:00"/>
    <n v="999.96"/>
    <n v="466"/>
  </r>
  <r>
    <s v="TRX0193"/>
    <x v="73"/>
    <s v="CUST024"/>
    <x v="23"/>
    <s v="P003"/>
    <x v="7"/>
    <x v="2"/>
    <n v="5"/>
    <n v="149.99"/>
    <x v="2"/>
    <x v="1"/>
    <x v="0"/>
    <d v="2021-08-10T00:00:00"/>
    <n v="749.95"/>
    <n v="985"/>
  </r>
  <r>
    <s v="TRX0022"/>
    <x v="98"/>
    <s v="CUST025"/>
    <x v="24"/>
    <s v="P007"/>
    <x v="3"/>
    <x v="0"/>
    <n v="1"/>
    <n v="299.99"/>
    <x v="2"/>
    <x v="4"/>
    <x v="2"/>
    <d v="2021-08-28T00:00:00"/>
    <n v="299.99"/>
    <n v="1234"/>
  </r>
  <r>
    <s v="TRX0033"/>
    <x v="99"/>
    <s v="CUST025"/>
    <x v="24"/>
    <s v="P002"/>
    <x v="4"/>
    <x v="2"/>
    <n v="2"/>
    <n v="699.99"/>
    <x v="0"/>
    <x v="0"/>
    <x v="0"/>
    <d v="2022-07-28T00:00:00"/>
    <n v="1399.98"/>
    <n v="843"/>
  </r>
  <r>
    <s v="TRX0049"/>
    <x v="40"/>
    <s v="CUST025"/>
    <x v="24"/>
    <s v="P008"/>
    <x v="0"/>
    <x v="0"/>
    <n v="4"/>
    <n v="149.99"/>
    <x v="3"/>
    <x v="4"/>
    <x v="1"/>
    <d v="2024-03-23T00:00:00"/>
    <n v="599.96"/>
    <n v="36"/>
  </r>
  <r>
    <s v="TRX0122"/>
    <x v="40"/>
    <s v="CUST025"/>
    <x v="24"/>
    <s v="P001"/>
    <x v="8"/>
    <x v="2"/>
    <n v="4"/>
    <n v="899.99"/>
    <x v="2"/>
    <x v="0"/>
    <x v="0"/>
    <d v="2024-02-05T00:00:00"/>
    <n v="3599.96"/>
    <n v="83"/>
  </r>
  <r>
    <s v="TRX0140"/>
    <x v="100"/>
    <s v="CUST025"/>
    <x v="24"/>
    <s v="P010"/>
    <x v="2"/>
    <x v="2"/>
    <n v="2"/>
    <n v="89.99"/>
    <x v="1"/>
    <x v="2"/>
    <x v="1"/>
    <d v="2023-02-15T00:00:00"/>
    <n v="179.98"/>
    <n v="550"/>
  </r>
  <r>
    <s v="TRX0157"/>
    <x v="78"/>
    <s v="CUST025"/>
    <x v="24"/>
    <s v="P010"/>
    <x v="2"/>
    <x v="2"/>
    <n v="2"/>
    <n v="89.99"/>
    <x v="0"/>
    <x v="3"/>
    <x v="2"/>
    <d v="2023-02-19T00:00:00"/>
    <n v="179.98"/>
    <n v="525"/>
  </r>
  <r>
    <s v="TRX0178"/>
    <x v="42"/>
    <s v="CUST025"/>
    <x v="24"/>
    <s v="P007"/>
    <x v="3"/>
    <x v="0"/>
    <n v="3"/>
    <n v="299.99"/>
    <x v="3"/>
    <x v="0"/>
    <x v="0"/>
    <d v="2023-01-26T00:00:00"/>
    <n v="899.97"/>
    <n v="734"/>
  </r>
  <r>
    <s v="TRX0201"/>
    <x v="55"/>
    <s v="CUST025"/>
    <x v="24"/>
    <s v="P002"/>
    <x v="4"/>
    <x v="2"/>
    <n v="5"/>
    <n v="699.99"/>
    <x v="3"/>
    <x v="0"/>
    <x v="0"/>
    <d v="2023-01-18T00:00:00"/>
    <n v="3499.95"/>
    <n v="683"/>
  </r>
  <r>
    <s v="TRX0205"/>
    <x v="101"/>
    <s v="CUST025"/>
    <x v="24"/>
    <s v="P007"/>
    <x v="3"/>
    <x v="0"/>
    <n v="5"/>
    <n v="299.99"/>
    <x v="2"/>
    <x v="4"/>
    <x v="2"/>
    <d v="2023-02-08T00:00:00"/>
    <n v="1499.95"/>
    <n v="550"/>
  </r>
  <r>
    <s v="TRX0207"/>
    <x v="102"/>
    <s v="CUST025"/>
    <x v="24"/>
    <s v="P001"/>
    <x v="8"/>
    <x v="2"/>
    <n v="1"/>
    <n v="899.99"/>
    <x v="0"/>
    <x v="4"/>
    <x v="1"/>
    <d v="2023-05-04T00:00:00"/>
    <n v="899.99"/>
    <n v="607"/>
  </r>
  <r>
    <s v="TRX0217"/>
    <x v="103"/>
    <s v="CUST025"/>
    <x v="24"/>
    <s v="P002"/>
    <x v="4"/>
    <x v="2"/>
    <n v="2"/>
    <n v="699.99"/>
    <x v="2"/>
    <x v="4"/>
    <x v="1"/>
    <d v="2023-03-14T00:00:00"/>
    <n v="1399.98"/>
    <n v="504"/>
  </r>
  <r>
    <s v="TRX0242"/>
    <x v="104"/>
    <s v="CUST025"/>
    <x v="24"/>
    <s v="P007"/>
    <x v="3"/>
    <x v="0"/>
    <n v="4"/>
    <n v="299.99"/>
    <x v="1"/>
    <x v="0"/>
    <x v="1"/>
    <d v="2022-06-04T00:00:00"/>
    <n v="1199.96"/>
    <n v="700"/>
  </r>
  <r>
    <s v="TRX0010"/>
    <x v="10"/>
    <s v="CUST026"/>
    <x v="25"/>
    <s v="P002"/>
    <x v="4"/>
    <x v="2"/>
    <n v="4"/>
    <n v="699.99"/>
    <x v="3"/>
    <x v="0"/>
    <x v="1"/>
    <d v="2022-05-11T00:00:00"/>
    <n v="2799.96"/>
    <n v="996"/>
  </r>
  <r>
    <s v="TRX0017"/>
    <x v="105"/>
    <s v="CUST026"/>
    <x v="25"/>
    <s v="P007"/>
    <x v="3"/>
    <x v="0"/>
    <n v="3"/>
    <n v="299.99"/>
    <x v="2"/>
    <x v="3"/>
    <x v="0"/>
    <d v="2021-11-02T00:00:00"/>
    <n v="899.97"/>
    <n v="1098"/>
  </r>
  <r>
    <s v="TRX0098"/>
    <x v="27"/>
    <s v="CUST026"/>
    <x v="25"/>
    <s v="P009"/>
    <x v="9"/>
    <x v="2"/>
    <n v="3"/>
    <n v="249.99"/>
    <x v="0"/>
    <x v="4"/>
    <x v="1"/>
    <d v="2021-09-26T00:00:00"/>
    <n v="749.97"/>
    <n v="1052"/>
  </r>
  <r>
    <s v="TRX0125"/>
    <x v="106"/>
    <s v="CUST026"/>
    <x v="25"/>
    <s v="P002"/>
    <x v="4"/>
    <x v="2"/>
    <n v="3"/>
    <n v="699.99"/>
    <x v="2"/>
    <x v="1"/>
    <x v="1"/>
    <d v="2023-06-28T00:00:00"/>
    <n v="2099.9699999999998"/>
    <n v="561"/>
  </r>
  <r>
    <s v="TRX0131"/>
    <x v="107"/>
    <s v="CUST026"/>
    <x v="25"/>
    <s v="P006"/>
    <x v="5"/>
    <x v="0"/>
    <n v="3"/>
    <n v="199.99"/>
    <x v="1"/>
    <x v="4"/>
    <x v="1"/>
    <d v="2023-11-24T00:00:00"/>
    <n v="599.97"/>
    <n v="237"/>
  </r>
  <r>
    <s v="TRX0185"/>
    <x v="89"/>
    <s v="CUST026"/>
    <x v="25"/>
    <s v="P005"/>
    <x v="1"/>
    <x v="1"/>
    <n v="3"/>
    <n v="59.99"/>
    <x v="1"/>
    <x v="0"/>
    <x v="1"/>
    <d v="2023-10-08T00:00:00"/>
    <n v="179.97"/>
    <n v="201"/>
  </r>
  <r>
    <s v="TRX0195"/>
    <x v="16"/>
    <s v="CUST026"/>
    <x v="25"/>
    <s v="P009"/>
    <x v="9"/>
    <x v="2"/>
    <n v="2"/>
    <n v="249.99"/>
    <x v="0"/>
    <x v="3"/>
    <x v="2"/>
    <d v="2023-03-08T00:00:00"/>
    <n v="499.98"/>
    <n v="558"/>
  </r>
  <r>
    <s v="TRX0250"/>
    <x v="108"/>
    <s v="CUST026"/>
    <x v="25"/>
    <s v="P010"/>
    <x v="2"/>
    <x v="2"/>
    <n v="2"/>
    <n v="89.99"/>
    <x v="3"/>
    <x v="0"/>
    <x v="1"/>
    <d v="2021-11-22T00:00:00"/>
    <n v="179.98"/>
    <n v="1224"/>
  </r>
  <r>
    <s v="TRX0149"/>
    <x v="19"/>
    <s v="CUST027"/>
    <x v="26"/>
    <s v="P005"/>
    <x v="1"/>
    <x v="1"/>
    <n v="3"/>
    <n v="59.99"/>
    <x v="3"/>
    <x v="3"/>
    <x v="0"/>
    <d v="2023-11-30T00:00:00"/>
    <n v="179.97"/>
    <n v="348"/>
  </r>
  <r>
    <s v="TRX0158"/>
    <x v="109"/>
    <s v="CUST027"/>
    <x v="26"/>
    <s v="P001"/>
    <x v="8"/>
    <x v="2"/>
    <n v="3"/>
    <n v="899.99"/>
    <x v="0"/>
    <x v="0"/>
    <x v="2"/>
    <d v="2023-10-16T00:00:00"/>
    <n v="2699.97"/>
    <n v="364"/>
  </r>
  <r>
    <s v="TRX0230"/>
    <x v="110"/>
    <s v="CUST027"/>
    <x v="26"/>
    <s v="P001"/>
    <x v="8"/>
    <x v="2"/>
    <n v="1"/>
    <n v="899.99"/>
    <x v="3"/>
    <x v="4"/>
    <x v="0"/>
    <d v="2022-12-25T00:00:00"/>
    <n v="899.99"/>
    <n v="489"/>
  </r>
  <r>
    <s v="TRX0027"/>
    <x v="111"/>
    <s v="CUST028"/>
    <x v="27"/>
    <s v="P006"/>
    <x v="5"/>
    <x v="0"/>
    <n v="5"/>
    <n v="199.99"/>
    <x v="1"/>
    <x v="4"/>
    <x v="1"/>
    <d v="2023-03-06T00:00:00"/>
    <n v="999.95"/>
    <n v="528"/>
  </r>
  <r>
    <s v="TRX0061"/>
    <x v="32"/>
    <s v="CUST028"/>
    <x v="27"/>
    <s v="P005"/>
    <x v="1"/>
    <x v="1"/>
    <n v="1"/>
    <n v="59.99"/>
    <x v="3"/>
    <x v="0"/>
    <x v="1"/>
    <d v="2023-09-21T00:00:00"/>
    <n v="59.99"/>
    <n v="270"/>
  </r>
  <r>
    <s v="TRX0087"/>
    <x v="112"/>
    <s v="CUST028"/>
    <x v="27"/>
    <s v="P009"/>
    <x v="9"/>
    <x v="2"/>
    <n v="4"/>
    <n v="249.99"/>
    <x v="2"/>
    <x v="4"/>
    <x v="1"/>
    <d v="2021-09-21T00:00:00"/>
    <n v="999.96"/>
    <n v="1211"/>
  </r>
  <r>
    <s v="TRX0121"/>
    <x v="56"/>
    <s v="CUST028"/>
    <x v="27"/>
    <s v="P010"/>
    <x v="2"/>
    <x v="2"/>
    <n v="1"/>
    <n v="89.99"/>
    <x v="2"/>
    <x v="3"/>
    <x v="0"/>
    <d v="2022-01-21T00:00:00"/>
    <n v="89.99"/>
    <n v="867"/>
  </r>
  <r>
    <s v="TRX0167"/>
    <x v="113"/>
    <s v="CUST028"/>
    <x v="27"/>
    <s v="P002"/>
    <x v="4"/>
    <x v="2"/>
    <n v="5"/>
    <n v="699.99"/>
    <x v="1"/>
    <x v="4"/>
    <x v="1"/>
    <d v="2022-03-15T00:00:00"/>
    <n v="3499.95"/>
    <n v="954"/>
  </r>
  <r>
    <s v="TRX0044"/>
    <x v="49"/>
    <s v="CUST029"/>
    <x v="28"/>
    <s v="P001"/>
    <x v="8"/>
    <x v="2"/>
    <n v="5"/>
    <n v="899.99"/>
    <x v="0"/>
    <x v="2"/>
    <x v="1"/>
    <d v="2023-12-18T00:00:00"/>
    <n v="4499.95"/>
    <n v="181"/>
  </r>
  <r>
    <s v="TRX0069"/>
    <x v="10"/>
    <s v="CUST029"/>
    <x v="28"/>
    <s v="P010"/>
    <x v="2"/>
    <x v="2"/>
    <n v="2"/>
    <n v="89.99"/>
    <x v="3"/>
    <x v="3"/>
    <x v="2"/>
    <d v="2022-08-04T00:00:00"/>
    <n v="179.98"/>
    <n v="911"/>
  </r>
  <r>
    <s v="TRX0144"/>
    <x v="114"/>
    <s v="CUST029"/>
    <x v="28"/>
    <s v="P001"/>
    <x v="8"/>
    <x v="2"/>
    <n v="3"/>
    <n v="899.99"/>
    <x v="1"/>
    <x v="1"/>
    <x v="0"/>
    <d v="2023-01-27T00:00:00"/>
    <n v="2699.97"/>
    <n v="796"/>
  </r>
  <r>
    <s v="TRX0160"/>
    <x v="115"/>
    <s v="CUST029"/>
    <x v="28"/>
    <s v="P006"/>
    <x v="5"/>
    <x v="0"/>
    <n v="4"/>
    <n v="199.99"/>
    <x v="3"/>
    <x v="1"/>
    <x v="1"/>
    <d v="2021-08-19T00:00:00"/>
    <n v="799.96"/>
    <n v="1190"/>
  </r>
  <r>
    <s v="TRX0179"/>
    <x v="11"/>
    <s v="CUST029"/>
    <x v="28"/>
    <s v="P002"/>
    <x v="4"/>
    <x v="2"/>
    <n v="5"/>
    <n v="699.99"/>
    <x v="0"/>
    <x v="3"/>
    <x v="1"/>
    <d v="2024-03-01T00:00:00"/>
    <n v="3499.95"/>
    <n v="355"/>
  </r>
  <r>
    <s v="TRX0241"/>
    <x v="66"/>
    <s v="CUST029"/>
    <x v="28"/>
    <s v="P005"/>
    <x v="1"/>
    <x v="1"/>
    <n v="4"/>
    <n v="59.99"/>
    <x v="3"/>
    <x v="2"/>
    <x v="0"/>
    <d v="2022-11-02T00:00:00"/>
    <n v="239.96"/>
    <n v="560"/>
  </r>
  <r>
    <s v="TRX0063"/>
    <x v="116"/>
    <s v="CUST030"/>
    <x v="29"/>
    <s v="P005"/>
    <x v="1"/>
    <x v="1"/>
    <n v="2"/>
    <n v="59.99"/>
    <x v="3"/>
    <x v="1"/>
    <x v="0"/>
    <d v="2023-10-15T00:00:00"/>
    <n v="119.98"/>
    <n v="211"/>
  </r>
  <r>
    <s v="TRX0107"/>
    <x v="112"/>
    <s v="CUST030"/>
    <x v="29"/>
    <s v="P003"/>
    <x v="7"/>
    <x v="2"/>
    <n v="2"/>
    <n v="149.99"/>
    <x v="1"/>
    <x v="4"/>
    <x v="0"/>
    <d v="2022-12-18T00:00:00"/>
    <n v="299.98"/>
    <n v="758"/>
  </r>
  <r>
    <s v="TRX0127"/>
    <x v="117"/>
    <s v="CUST030"/>
    <x v="29"/>
    <s v="P008"/>
    <x v="0"/>
    <x v="0"/>
    <n v="1"/>
    <n v="149.99"/>
    <x v="0"/>
    <x v="2"/>
    <x v="2"/>
    <d v="2022-10-17T00:00:00"/>
    <n v="149.99"/>
    <n v="621"/>
  </r>
  <r>
    <s v="TRX0165"/>
    <x v="9"/>
    <s v="CUST030"/>
    <x v="29"/>
    <s v="P006"/>
    <x v="5"/>
    <x v="0"/>
    <n v="4"/>
    <n v="199.99"/>
    <x v="2"/>
    <x v="1"/>
    <x v="2"/>
    <d v="2021-11-23T00:00:00"/>
    <n v="799.96"/>
    <n v="1131"/>
  </r>
  <r>
    <s v="TRX0175"/>
    <x v="94"/>
    <s v="CUST030"/>
    <x v="29"/>
    <s v="P009"/>
    <x v="9"/>
    <x v="2"/>
    <n v="5"/>
    <n v="249.99"/>
    <x v="1"/>
    <x v="2"/>
    <x v="0"/>
    <d v="2021-12-10T00:00:00"/>
    <n v="1249.95"/>
    <n v="1183"/>
  </r>
  <r>
    <s v="TRX0198"/>
    <x v="118"/>
    <s v="CUST030"/>
    <x v="29"/>
    <s v="P004"/>
    <x v="6"/>
    <x v="1"/>
    <n v="3"/>
    <n v="79.989999999999995"/>
    <x v="3"/>
    <x v="2"/>
    <x v="0"/>
    <d v="2022-08-06T00:00:00"/>
    <n v="239.97"/>
    <n v="857"/>
  </r>
  <r>
    <s v="TRX0249"/>
    <x v="119"/>
    <s v="CUST030"/>
    <x v="29"/>
    <s v="P001"/>
    <x v="8"/>
    <x v="2"/>
    <n v="4"/>
    <n v="899.99"/>
    <x v="3"/>
    <x v="3"/>
    <x v="0"/>
    <d v="2021-11-23T00:00:00"/>
    <n v="3599.96"/>
    <n v="981"/>
  </r>
  <r>
    <s v="TRX0064"/>
    <x v="120"/>
    <s v="CUST031"/>
    <x v="30"/>
    <s v="P010"/>
    <x v="2"/>
    <x v="2"/>
    <n v="3"/>
    <n v="89.99"/>
    <x v="3"/>
    <x v="4"/>
    <x v="1"/>
    <d v="2022-11-13T00:00:00"/>
    <n v="269.97000000000003"/>
    <n v="880"/>
  </r>
  <r>
    <s v="TRX0084"/>
    <x v="121"/>
    <s v="CUST031"/>
    <x v="30"/>
    <s v="P003"/>
    <x v="7"/>
    <x v="2"/>
    <n v="4"/>
    <n v="149.99"/>
    <x v="3"/>
    <x v="2"/>
    <x v="0"/>
    <d v="2021-12-06T00:00:00"/>
    <n v="599.96"/>
    <n v="1132"/>
  </r>
  <r>
    <s v="TRX0100"/>
    <x v="122"/>
    <s v="CUST031"/>
    <x v="30"/>
    <s v="P005"/>
    <x v="1"/>
    <x v="1"/>
    <n v="3"/>
    <n v="59.99"/>
    <x v="2"/>
    <x v="1"/>
    <x v="1"/>
    <d v="2022-06-05T00:00:00"/>
    <n v="179.97"/>
    <n v="824"/>
  </r>
  <r>
    <s v="TRX0182"/>
    <x v="123"/>
    <s v="CUST031"/>
    <x v="30"/>
    <s v="P006"/>
    <x v="5"/>
    <x v="0"/>
    <n v="2"/>
    <n v="199.99"/>
    <x v="1"/>
    <x v="1"/>
    <x v="1"/>
    <d v="2022-01-12T00:00:00"/>
    <n v="399.98"/>
    <n v="1139"/>
  </r>
  <r>
    <s v="TRX0224"/>
    <x v="29"/>
    <s v="CUST031"/>
    <x v="30"/>
    <s v="P007"/>
    <x v="3"/>
    <x v="0"/>
    <n v="2"/>
    <n v="299.99"/>
    <x v="1"/>
    <x v="2"/>
    <x v="1"/>
    <d v="2022-06-12T00:00:00"/>
    <n v="599.98"/>
    <n v="917"/>
  </r>
  <r>
    <s v="TRX0245"/>
    <x v="124"/>
    <s v="CUST031"/>
    <x v="30"/>
    <s v="P006"/>
    <x v="5"/>
    <x v="0"/>
    <n v="3"/>
    <n v="199.99"/>
    <x v="2"/>
    <x v="4"/>
    <x v="1"/>
    <d v="2024-01-01T00:00:00"/>
    <n v="599.97"/>
    <n v="146"/>
  </r>
  <r>
    <s v="TRX0051"/>
    <x v="112"/>
    <s v="CUST032"/>
    <x v="31"/>
    <s v="P007"/>
    <x v="3"/>
    <x v="0"/>
    <n v="3"/>
    <n v="299.99"/>
    <x v="2"/>
    <x v="3"/>
    <x v="2"/>
    <d v="2023-10-05T00:00:00"/>
    <n v="899.97"/>
    <n v="467"/>
  </r>
  <r>
    <s v="TRX0073"/>
    <x v="99"/>
    <s v="CUST032"/>
    <x v="31"/>
    <s v="P008"/>
    <x v="0"/>
    <x v="0"/>
    <n v="5"/>
    <n v="149.99"/>
    <x v="1"/>
    <x v="4"/>
    <x v="2"/>
    <d v="2022-11-04T00:00:00"/>
    <n v="749.95"/>
    <n v="744"/>
  </r>
  <r>
    <s v="TRX0177"/>
    <x v="125"/>
    <s v="CUST032"/>
    <x v="31"/>
    <s v="P001"/>
    <x v="8"/>
    <x v="2"/>
    <n v="3"/>
    <n v="899.99"/>
    <x v="2"/>
    <x v="4"/>
    <x v="0"/>
    <d v="2023-08-19T00:00:00"/>
    <n v="2699.97"/>
    <n v="402"/>
  </r>
  <r>
    <s v="TRX0203"/>
    <x v="41"/>
    <s v="CUST032"/>
    <x v="31"/>
    <s v="P003"/>
    <x v="7"/>
    <x v="2"/>
    <n v="4"/>
    <n v="149.99"/>
    <x v="2"/>
    <x v="4"/>
    <x v="1"/>
    <d v="2023-05-30T00:00:00"/>
    <n v="599.96"/>
    <n v="496"/>
  </r>
  <r>
    <s v="TRX0248"/>
    <x v="126"/>
    <s v="CUST032"/>
    <x v="31"/>
    <s v="P002"/>
    <x v="4"/>
    <x v="2"/>
    <n v="2"/>
    <n v="699.99"/>
    <x v="2"/>
    <x v="4"/>
    <x v="1"/>
    <d v="2021-08-13T00:00:00"/>
    <n v="1399.98"/>
    <n v="1113"/>
  </r>
  <r>
    <s v="TRX0014"/>
    <x v="127"/>
    <s v="CUST033"/>
    <x v="32"/>
    <s v="P005"/>
    <x v="1"/>
    <x v="1"/>
    <n v="2"/>
    <n v="59.99"/>
    <x v="2"/>
    <x v="0"/>
    <x v="2"/>
    <d v="2023-09-24T00:00:00"/>
    <n v="119.98"/>
    <n v="541"/>
  </r>
  <r>
    <s v="TRX0097"/>
    <x v="128"/>
    <s v="CUST033"/>
    <x v="32"/>
    <s v="P006"/>
    <x v="5"/>
    <x v="0"/>
    <n v="2"/>
    <n v="199.99"/>
    <x v="1"/>
    <x v="4"/>
    <x v="2"/>
    <d v="2021-12-11T00:00:00"/>
    <n v="399.98"/>
    <n v="946"/>
  </r>
  <r>
    <s v="TRX0141"/>
    <x v="53"/>
    <s v="CUST033"/>
    <x v="32"/>
    <s v="P007"/>
    <x v="3"/>
    <x v="0"/>
    <n v="1"/>
    <n v="299.99"/>
    <x v="2"/>
    <x v="4"/>
    <x v="1"/>
    <d v="2022-11-26T00:00:00"/>
    <n v="299.99"/>
    <n v="593"/>
  </r>
  <r>
    <s v="TRX0145"/>
    <x v="17"/>
    <s v="CUST033"/>
    <x v="32"/>
    <s v="P005"/>
    <x v="1"/>
    <x v="1"/>
    <n v="1"/>
    <n v="59.99"/>
    <x v="3"/>
    <x v="0"/>
    <x v="0"/>
    <d v="2021-12-30T00:00:00"/>
    <n v="59.99"/>
    <n v="1059"/>
  </r>
  <r>
    <s v="TRX0221"/>
    <x v="76"/>
    <s v="CUST033"/>
    <x v="32"/>
    <s v="P006"/>
    <x v="5"/>
    <x v="0"/>
    <n v="3"/>
    <n v="199.99"/>
    <x v="1"/>
    <x v="0"/>
    <x v="1"/>
    <d v="2022-09-19T00:00:00"/>
    <n v="599.97"/>
    <n v="885"/>
  </r>
  <r>
    <s v="TRX0099"/>
    <x v="92"/>
    <s v="CUST034"/>
    <x v="33"/>
    <s v="P009"/>
    <x v="9"/>
    <x v="2"/>
    <n v="1"/>
    <n v="249.99"/>
    <x v="2"/>
    <x v="0"/>
    <x v="1"/>
    <d v="2022-05-04T00:00:00"/>
    <n v="249.99"/>
    <n v="852"/>
  </r>
  <r>
    <s v="TRX0170"/>
    <x v="129"/>
    <s v="CUST034"/>
    <x v="33"/>
    <s v="P003"/>
    <x v="7"/>
    <x v="2"/>
    <n v="3"/>
    <n v="149.99"/>
    <x v="1"/>
    <x v="0"/>
    <x v="1"/>
    <d v="2023-10-13T00:00:00"/>
    <n v="449.97"/>
    <n v="320"/>
  </r>
  <r>
    <s v="TRX0218"/>
    <x v="63"/>
    <s v="CUST034"/>
    <x v="33"/>
    <s v="P008"/>
    <x v="0"/>
    <x v="0"/>
    <n v="3"/>
    <n v="149.99"/>
    <x v="2"/>
    <x v="3"/>
    <x v="0"/>
    <d v="2023-01-14T00:00:00"/>
    <n v="449.97"/>
    <n v="633"/>
  </r>
  <r>
    <s v="TRX0016"/>
    <x v="71"/>
    <s v="CUST035"/>
    <x v="34"/>
    <s v="P001"/>
    <x v="8"/>
    <x v="2"/>
    <n v="5"/>
    <n v="899.99"/>
    <x v="0"/>
    <x v="2"/>
    <x v="1"/>
    <d v="2024-04-07T00:00:00"/>
    <n v="4499.95"/>
    <n v="335"/>
  </r>
  <r>
    <s v="TRX0037"/>
    <x v="130"/>
    <s v="CUST035"/>
    <x v="34"/>
    <s v="P009"/>
    <x v="9"/>
    <x v="2"/>
    <n v="2"/>
    <n v="249.99"/>
    <x v="1"/>
    <x v="3"/>
    <x v="0"/>
    <d v="2022-01-11T00:00:00"/>
    <n v="499.98"/>
    <n v="956"/>
  </r>
  <r>
    <s v="TRX0038"/>
    <x v="131"/>
    <s v="CUST035"/>
    <x v="34"/>
    <s v="P009"/>
    <x v="9"/>
    <x v="2"/>
    <n v="1"/>
    <n v="249.99"/>
    <x v="1"/>
    <x v="4"/>
    <x v="0"/>
    <d v="2023-07-10T00:00:00"/>
    <n v="249.99"/>
    <n v="609"/>
  </r>
  <r>
    <s v="TRX0202"/>
    <x v="132"/>
    <s v="CUST035"/>
    <x v="34"/>
    <s v="P010"/>
    <x v="2"/>
    <x v="2"/>
    <n v="3"/>
    <n v="89.99"/>
    <x v="0"/>
    <x v="1"/>
    <x v="1"/>
    <d v="2023-07-13T00:00:00"/>
    <n v="269.97000000000003"/>
    <n v="321"/>
  </r>
  <r>
    <s v="TRX0031"/>
    <x v="133"/>
    <s v="CUST036"/>
    <x v="35"/>
    <s v="P003"/>
    <x v="7"/>
    <x v="2"/>
    <n v="3"/>
    <n v="149.99"/>
    <x v="0"/>
    <x v="2"/>
    <x v="2"/>
    <d v="2022-01-13T00:00:00"/>
    <n v="449.97"/>
    <n v="949"/>
  </r>
  <r>
    <s v="TRX0071"/>
    <x v="134"/>
    <s v="CUST036"/>
    <x v="35"/>
    <s v="P009"/>
    <x v="9"/>
    <x v="2"/>
    <n v="5"/>
    <n v="249.99"/>
    <x v="2"/>
    <x v="0"/>
    <x v="0"/>
    <d v="2021-11-25T00:00:00"/>
    <n v="1249.95"/>
    <n v="897"/>
  </r>
  <r>
    <s v="TRX0147"/>
    <x v="37"/>
    <s v="CUST036"/>
    <x v="35"/>
    <s v="P008"/>
    <x v="0"/>
    <x v="0"/>
    <n v="5"/>
    <n v="149.99"/>
    <x v="1"/>
    <x v="1"/>
    <x v="1"/>
    <d v="2024-02-25T00:00:00"/>
    <n v="749.95"/>
    <n v="308"/>
  </r>
  <r>
    <s v="TRX0180"/>
    <x v="20"/>
    <s v="CUST036"/>
    <x v="35"/>
    <s v="P009"/>
    <x v="9"/>
    <x v="2"/>
    <n v="2"/>
    <n v="249.99"/>
    <x v="2"/>
    <x v="1"/>
    <x v="1"/>
    <d v="2021-07-19T00:00:00"/>
    <n v="499.98"/>
    <n v="1239"/>
  </r>
  <r>
    <s v="TRX0187"/>
    <x v="135"/>
    <s v="CUST036"/>
    <x v="35"/>
    <s v="P004"/>
    <x v="6"/>
    <x v="1"/>
    <n v="3"/>
    <n v="79.989999999999995"/>
    <x v="1"/>
    <x v="2"/>
    <x v="1"/>
    <d v="2021-08-28T00:00:00"/>
    <n v="239.97"/>
    <n v="1265"/>
  </r>
  <r>
    <s v="TRX0223"/>
    <x v="136"/>
    <s v="CUST036"/>
    <x v="35"/>
    <s v="P006"/>
    <x v="5"/>
    <x v="0"/>
    <n v="5"/>
    <n v="199.99"/>
    <x v="0"/>
    <x v="1"/>
    <x v="0"/>
    <d v="2022-03-13T00:00:00"/>
    <n v="999.95"/>
    <n v="1034"/>
  </r>
  <r>
    <s v="TRX0026"/>
    <x v="137"/>
    <s v="CUST037"/>
    <x v="36"/>
    <s v="P001"/>
    <x v="8"/>
    <x v="2"/>
    <n v="1"/>
    <n v="899.99"/>
    <x v="0"/>
    <x v="4"/>
    <x v="0"/>
    <d v="2022-07-10T00:00:00"/>
    <n v="899.99"/>
    <n v="909"/>
  </r>
  <r>
    <s v="TRX0200"/>
    <x v="64"/>
    <s v="CUST037"/>
    <x v="36"/>
    <s v="P008"/>
    <x v="0"/>
    <x v="0"/>
    <n v="4"/>
    <n v="149.99"/>
    <x v="0"/>
    <x v="4"/>
    <x v="1"/>
    <d v="2021-08-04T00:00:00"/>
    <n v="599.96"/>
    <n v="1299"/>
  </r>
  <r>
    <s v="TRX0219"/>
    <x v="138"/>
    <s v="CUST037"/>
    <x v="36"/>
    <s v="P005"/>
    <x v="1"/>
    <x v="1"/>
    <n v="1"/>
    <n v="59.99"/>
    <x v="3"/>
    <x v="1"/>
    <x v="0"/>
    <d v="2023-04-29T00:00:00"/>
    <n v="59.99"/>
    <n v="647"/>
  </r>
  <r>
    <s v="TRX0191"/>
    <x v="110"/>
    <s v="CUST038"/>
    <x v="37"/>
    <s v="P002"/>
    <x v="4"/>
    <x v="2"/>
    <n v="3"/>
    <n v="699.99"/>
    <x v="2"/>
    <x v="0"/>
    <x v="2"/>
    <d v="2022-01-16T00:00:00"/>
    <n v="2099.9699999999998"/>
    <n v="832"/>
  </r>
  <r>
    <s v="TRX0238"/>
    <x v="121"/>
    <s v="CUST038"/>
    <x v="37"/>
    <s v="P002"/>
    <x v="4"/>
    <x v="2"/>
    <n v="3"/>
    <n v="699.99"/>
    <x v="1"/>
    <x v="4"/>
    <x v="1"/>
    <d v="2022-02-10T00:00:00"/>
    <n v="2099.9699999999998"/>
    <n v="1066"/>
  </r>
  <r>
    <s v="TRX0001"/>
    <x v="130"/>
    <s v="CUST039"/>
    <x v="38"/>
    <s v="P004"/>
    <x v="6"/>
    <x v="1"/>
    <n v="3"/>
    <n v="79.989999999999995"/>
    <x v="1"/>
    <x v="1"/>
    <x v="1"/>
    <d v="2022-08-06T00:00:00"/>
    <n v="239.97"/>
    <n v="749"/>
  </r>
  <r>
    <s v="TRX0079"/>
    <x v="139"/>
    <s v="CUST039"/>
    <x v="38"/>
    <s v="P010"/>
    <x v="2"/>
    <x v="2"/>
    <n v="3"/>
    <n v="89.99"/>
    <x v="0"/>
    <x v="1"/>
    <x v="2"/>
    <d v="2021-12-21T00:00:00"/>
    <n v="269.97000000000003"/>
    <n v="1035"/>
  </r>
  <r>
    <s v="TRX0103"/>
    <x v="120"/>
    <s v="CUST039"/>
    <x v="38"/>
    <s v="P010"/>
    <x v="2"/>
    <x v="2"/>
    <n v="2"/>
    <n v="89.99"/>
    <x v="3"/>
    <x v="2"/>
    <x v="2"/>
    <d v="2023-06-11T00:00:00"/>
    <n v="179.98"/>
    <n v="670"/>
  </r>
  <r>
    <s v="TRX0106"/>
    <x v="34"/>
    <s v="CUST039"/>
    <x v="38"/>
    <s v="P006"/>
    <x v="5"/>
    <x v="0"/>
    <n v="4"/>
    <n v="199.99"/>
    <x v="3"/>
    <x v="3"/>
    <x v="0"/>
    <d v="2021-12-14T00:00:00"/>
    <n v="799.96"/>
    <n v="1129"/>
  </r>
  <r>
    <s v="TRX0186"/>
    <x v="71"/>
    <s v="CUST039"/>
    <x v="38"/>
    <s v="P008"/>
    <x v="0"/>
    <x v="0"/>
    <n v="2"/>
    <n v="149.99"/>
    <x v="0"/>
    <x v="1"/>
    <x v="1"/>
    <d v="2022-03-12T00:00:00"/>
    <n v="299.98"/>
    <n v="1092"/>
  </r>
  <r>
    <s v="TRX0190"/>
    <x v="140"/>
    <s v="CUST039"/>
    <x v="38"/>
    <s v="P003"/>
    <x v="7"/>
    <x v="2"/>
    <n v="2"/>
    <n v="149.99"/>
    <x v="2"/>
    <x v="0"/>
    <x v="2"/>
    <d v="2022-12-21T00:00:00"/>
    <n v="299.98"/>
    <n v="667"/>
  </r>
  <r>
    <s v="TRX0225"/>
    <x v="141"/>
    <s v="CUST039"/>
    <x v="38"/>
    <s v="P002"/>
    <x v="4"/>
    <x v="2"/>
    <n v="2"/>
    <n v="699.99"/>
    <x v="3"/>
    <x v="1"/>
    <x v="1"/>
    <d v="2022-11-05T00:00:00"/>
    <n v="1399.98"/>
    <n v="668"/>
  </r>
  <r>
    <s v="TRX0226"/>
    <x v="142"/>
    <s v="CUST039"/>
    <x v="38"/>
    <s v="P002"/>
    <x v="4"/>
    <x v="2"/>
    <n v="5"/>
    <n v="699.99"/>
    <x v="3"/>
    <x v="2"/>
    <x v="1"/>
    <d v="2023-08-23T00:00:00"/>
    <n v="3499.95"/>
    <n v="559"/>
  </r>
  <r>
    <s v="TRX0011"/>
    <x v="143"/>
    <s v="CUST040"/>
    <x v="39"/>
    <s v="P005"/>
    <x v="1"/>
    <x v="1"/>
    <n v="5"/>
    <n v="59.99"/>
    <x v="3"/>
    <x v="1"/>
    <x v="0"/>
    <d v="2023-09-08T00:00:00"/>
    <n v="299.95"/>
    <n v="519"/>
  </r>
  <r>
    <s v="TRX0124"/>
    <x v="1"/>
    <s v="CUST040"/>
    <x v="39"/>
    <s v="P001"/>
    <x v="8"/>
    <x v="2"/>
    <n v="3"/>
    <n v="899.99"/>
    <x v="3"/>
    <x v="4"/>
    <x v="1"/>
    <d v="2022-11-11T00:00:00"/>
    <n v="2699.97"/>
    <n v="861"/>
  </r>
  <r>
    <s v="TRX0128"/>
    <x v="68"/>
    <s v="CUST040"/>
    <x v="39"/>
    <s v="P005"/>
    <x v="1"/>
    <x v="1"/>
    <n v="2"/>
    <n v="59.99"/>
    <x v="1"/>
    <x v="0"/>
    <x v="2"/>
    <d v="2024-04-08T00:00:00"/>
    <n v="119.98"/>
    <n v="54"/>
  </r>
  <r>
    <s v="TRX0151"/>
    <x v="67"/>
    <s v="CUST040"/>
    <x v="39"/>
    <s v="P002"/>
    <x v="4"/>
    <x v="2"/>
    <n v="1"/>
    <n v="699.99"/>
    <x v="0"/>
    <x v="0"/>
    <x v="2"/>
    <d v="2023-01-08T00:00:00"/>
    <n v="699.99"/>
    <n v="776"/>
  </r>
  <r>
    <s v="TRX0162"/>
    <x v="144"/>
    <s v="CUST040"/>
    <x v="39"/>
    <s v="P001"/>
    <x v="8"/>
    <x v="2"/>
    <n v="1"/>
    <n v="899.99"/>
    <x v="1"/>
    <x v="1"/>
    <x v="0"/>
    <d v="2023-09-10T00:00:00"/>
    <n v="899.99"/>
    <n v="317"/>
  </r>
  <r>
    <s v="TRX0189"/>
    <x v="75"/>
    <s v="CUST040"/>
    <x v="39"/>
    <s v="P001"/>
    <x v="8"/>
    <x v="2"/>
    <n v="1"/>
    <n v="899.99"/>
    <x v="2"/>
    <x v="2"/>
    <x v="0"/>
    <d v="2024-03-18T00:00:00"/>
    <n v="899.99"/>
    <n v="212"/>
  </r>
  <r>
    <s v="TRX0032"/>
    <x v="145"/>
    <s v="CUST041"/>
    <x v="40"/>
    <s v="P001"/>
    <x v="8"/>
    <x v="2"/>
    <n v="2"/>
    <n v="899.99"/>
    <x v="1"/>
    <x v="4"/>
    <x v="2"/>
    <d v="2021-07-29T00:00:00"/>
    <n v="1799.98"/>
    <n v="1232"/>
  </r>
  <r>
    <s v="TRX0035"/>
    <x v="47"/>
    <s v="CUST041"/>
    <x v="40"/>
    <s v="P003"/>
    <x v="7"/>
    <x v="2"/>
    <n v="3"/>
    <n v="149.99"/>
    <x v="1"/>
    <x v="4"/>
    <x v="2"/>
    <d v="2022-07-27T00:00:00"/>
    <n v="449.97"/>
    <n v="838"/>
  </r>
  <r>
    <s v="TRX0123"/>
    <x v="43"/>
    <s v="CUST041"/>
    <x v="40"/>
    <s v="P002"/>
    <x v="4"/>
    <x v="2"/>
    <n v="4"/>
    <n v="699.99"/>
    <x v="0"/>
    <x v="3"/>
    <x v="2"/>
    <d v="2022-02-26T00:00:00"/>
    <n v="2799.96"/>
    <n v="936"/>
  </r>
  <r>
    <s v="TRX0216"/>
    <x v="146"/>
    <s v="CUST041"/>
    <x v="40"/>
    <s v="P008"/>
    <x v="0"/>
    <x v="0"/>
    <n v="3"/>
    <n v="149.99"/>
    <x v="1"/>
    <x v="1"/>
    <x v="1"/>
    <d v="2023-09-30T00:00:00"/>
    <n v="449.97"/>
    <n v="291"/>
  </r>
  <r>
    <s v="TRX0246"/>
    <x v="89"/>
    <s v="CUST041"/>
    <x v="40"/>
    <s v="P008"/>
    <x v="0"/>
    <x v="0"/>
    <n v="3"/>
    <n v="149.99"/>
    <x v="1"/>
    <x v="4"/>
    <x v="1"/>
    <d v="2022-09-02T00:00:00"/>
    <n v="449.97"/>
    <n v="602"/>
  </r>
  <r>
    <s v="TRX0005"/>
    <x v="147"/>
    <s v="CUST042"/>
    <x v="41"/>
    <s v="P003"/>
    <x v="7"/>
    <x v="2"/>
    <n v="4"/>
    <n v="149.99"/>
    <x v="1"/>
    <x v="4"/>
    <x v="2"/>
    <d v="2022-12-14T00:00:00"/>
    <n v="599.96"/>
    <n v="641"/>
  </r>
  <r>
    <s v="TRX0024"/>
    <x v="148"/>
    <s v="CUST042"/>
    <x v="41"/>
    <s v="P008"/>
    <x v="0"/>
    <x v="0"/>
    <n v="3"/>
    <n v="149.99"/>
    <x v="3"/>
    <x v="4"/>
    <x v="1"/>
    <d v="2022-01-03T00:00:00"/>
    <n v="449.97"/>
    <n v="1131"/>
  </r>
  <r>
    <s v="TRX0047"/>
    <x v="64"/>
    <s v="CUST042"/>
    <x v="41"/>
    <s v="P002"/>
    <x v="4"/>
    <x v="2"/>
    <n v="1"/>
    <n v="699.99"/>
    <x v="1"/>
    <x v="4"/>
    <x v="1"/>
    <d v="2022-01-22T00:00:00"/>
    <n v="699.99"/>
    <n v="1128"/>
  </r>
  <r>
    <s v="TRX0053"/>
    <x v="149"/>
    <s v="CUST043"/>
    <x v="42"/>
    <s v="P005"/>
    <x v="1"/>
    <x v="1"/>
    <n v="5"/>
    <n v="59.99"/>
    <x v="1"/>
    <x v="0"/>
    <x v="1"/>
    <d v="2023-12-31T00:00:00"/>
    <n v="299.95"/>
    <n v="430"/>
  </r>
  <r>
    <s v="TRX0067"/>
    <x v="110"/>
    <s v="CUST043"/>
    <x v="42"/>
    <s v="P005"/>
    <x v="1"/>
    <x v="1"/>
    <n v="3"/>
    <n v="59.99"/>
    <x v="2"/>
    <x v="4"/>
    <x v="0"/>
    <d v="2024-02-29T00:00:00"/>
    <n v="179.97"/>
    <n v="58"/>
  </r>
  <r>
    <s v="TRX0068"/>
    <x v="150"/>
    <s v="CUST044"/>
    <x v="43"/>
    <s v="P002"/>
    <x v="4"/>
    <x v="2"/>
    <n v="2"/>
    <n v="699.99"/>
    <x v="0"/>
    <x v="4"/>
    <x v="0"/>
    <d v="2022-02-26T00:00:00"/>
    <n v="1399.98"/>
    <n v="1130"/>
  </r>
  <r>
    <s v="TRX0152"/>
    <x v="151"/>
    <s v="CUST044"/>
    <x v="43"/>
    <s v="P004"/>
    <x v="6"/>
    <x v="1"/>
    <n v="4"/>
    <n v="79.989999999999995"/>
    <x v="2"/>
    <x v="1"/>
    <x v="2"/>
    <d v="2023-12-28T00:00:00"/>
    <n v="319.95999999999998"/>
    <n v="455"/>
  </r>
  <r>
    <s v="TRX0176"/>
    <x v="152"/>
    <s v="CUST044"/>
    <x v="43"/>
    <s v="P008"/>
    <x v="0"/>
    <x v="0"/>
    <n v="2"/>
    <n v="149.99"/>
    <x v="3"/>
    <x v="2"/>
    <x v="0"/>
    <d v="2022-04-16T00:00:00"/>
    <n v="299.98"/>
    <n v="843"/>
  </r>
  <r>
    <s v="TRX0204"/>
    <x v="153"/>
    <s v="CUST044"/>
    <x v="43"/>
    <s v="P009"/>
    <x v="9"/>
    <x v="2"/>
    <n v="4"/>
    <n v="249.99"/>
    <x v="0"/>
    <x v="4"/>
    <x v="0"/>
    <d v="2021-09-29T00:00:00"/>
    <n v="999.96"/>
    <n v="947"/>
  </r>
  <r>
    <s v="TRX0236"/>
    <x v="154"/>
    <s v="CUST044"/>
    <x v="43"/>
    <s v="P008"/>
    <x v="0"/>
    <x v="0"/>
    <n v="5"/>
    <n v="149.99"/>
    <x v="2"/>
    <x v="1"/>
    <x v="2"/>
    <d v="2024-01-19T00:00:00"/>
    <n v="749.95"/>
    <n v="216"/>
  </r>
  <r>
    <s v="TRX0012"/>
    <x v="155"/>
    <s v="CUST045"/>
    <x v="44"/>
    <s v="P009"/>
    <x v="9"/>
    <x v="2"/>
    <n v="5"/>
    <n v="249.99"/>
    <x v="2"/>
    <x v="4"/>
    <x v="2"/>
    <d v="2022-11-08T00:00:00"/>
    <n v="1249.95"/>
    <n v="749"/>
  </r>
  <r>
    <s v="TRX0102"/>
    <x v="98"/>
    <s v="CUST045"/>
    <x v="44"/>
    <s v="P004"/>
    <x v="6"/>
    <x v="1"/>
    <n v="1"/>
    <n v="79.989999999999995"/>
    <x v="2"/>
    <x v="3"/>
    <x v="2"/>
    <d v="2024-01-31T00:00:00"/>
    <n v="79.989999999999995"/>
    <n v="348"/>
  </r>
  <r>
    <s v="TRX0120"/>
    <x v="120"/>
    <s v="CUST045"/>
    <x v="44"/>
    <s v="P002"/>
    <x v="4"/>
    <x v="2"/>
    <n v="3"/>
    <n v="699.99"/>
    <x v="0"/>
    <x v="4"/>
    <x v="2"/>
    <d v="2022-12-14T00:00:00"/>
    <n v="2099.9699999999998"/>
    <n v="849"/>
  </r>
  <r>
    <s v="TRX0188"/>
    <x v="42"/>
    <s v="CUST045"/>
    <x v="44"/>
    <s v="P002"/>
    <x v="4"/>
    <x v="2"/>
    <n v="2"/>
    <n v="699.99"/>
    <x v="3"/>
    <x v="1"/>
    <x v="1"/>
    <d v="2022-04-30T00:00:00"/>
    <n v="1399.98"/>
    <n v="1005"/>
  </r>
  <r>
    <s v="TRX0043"/>
    <x v="13"/>
    <s v="CUST046"/>
    <x v="45"/>
    <s v="P005"/>
    <x v="1"/>
    <x v="1"/>
    <n v="3"/>
    <n v="59.99"/>
    <x v="1"/>
    <x v="4"/>
    <x v="1"/>
    <d v="2023-07-07T00:00:00"/>
    <n v="179.97"/>
    <n v="286"/>
  </r>
  <r>
    <s v="TRX0095"/>
    <x v="15"/>
    <s v="CUST046"/>
    <x v="45"/>
    <s v="P003"/>
    <x v="7"/>
    <x v="2"/>
    <n v="2"/>
    <n v="149.99"/>
    <x v="0"/>
    <x v="1"/>
    <x v="2"/>
    <d v="2021-10-04T00:00:00"/>
    <n v="299.98"/>
    <n v="1115"/>
  </r>
  <r>
    <s v="TRX0184"/>
    <x v="48"/>
    <s v="CUST046"/>
    <x v="45"/>
    <s v="P002"/>
    <x v="4"/>
    <x v="2"/>
    <n v="3"/>
    <n v="699.99"/>
    <x v="2"/>
    <x v="2"/>
    <x v="1"/>
    <d v="2023-06-25T00:00:00"/>
    <n v="2099.9699999999998"/>
    <n v="369"/>
  </r>
  <r>
    <s v="TRX0209"/>
    <x v="89"/>
    <s v="CUST046"/>
    <x v="45"/>
    <s v="P008"/>
    <x v="0"/>
    <x v="0"/>
    <n v="5"/>
    <n v="149.99"/>
    <x v="3"/>
    <x v="4"/>
    <x v="2"/>
    <d v="2022-09-26T00:00:00"/>
    <n v="749.95"/>
    <n v="578"/>
  </r>
  <r>
    <s v="TRX0211"/>
    <x v="156"/>
    <s v="CUST046"/>
    <x v="45"/>
    <s v="P010"/>
    <x v="2"/>
    <x v="2"/>
    <n v="2"/>
    <n v="89.99"/>
    <x v="2"/>
    <x v="3"/>
    <x v="1"/>
    <d v="2022-03-21T00:00:00"/>
    <n v="179.98"/>
    <n v="907"/>
  </r>
  <r>
    <s v="TRX0247"/>
    <x v="27"/>
    <s v="CUST046"/>
    <x v="45"/>
    <s v="P006"/>
    <x v="5"/>
    <x v="0"/>
    <n v="4"/>
    <n v="199.99"/>
    <x v="1"/>
    <x v="4"/>
    <x v="0"/>
    <d v="2021-09-19T00:00:00"/>
    <n v="799.96"/>
    <n v="1059"/>
  </r>
  <r>
    <s v="TRX0058"/>
    <x v="129"/>
    <s v="CUST047"/>
    <x v="46"/>
    <s v="P002"/>
    <x v="4"/>
    <x v="2"/>
    <n v="1"/>
    <n v="699.99"/>
    <x v="1"/>
    <x v="1"/>
    <x v="1"/>
    <d v="2021-10-28T00:00:00"/>
    <n v="699.99"/>
    <n v="1035"/>
  </r>
  <r>
    <s v="TRX0132"/>
    <x v="133"/>
    <s v="CUST047"/>
    <x v="46"/>
    <s v="P001"/>
    <x v="8"/>
    <x v="2"/>
    <n v="5"/>
    <n v="899.99"/>
    <x v="3"/>
    <x v="2"/>
    <x v="2"/>
    <d v="2021-11-26T00:00:00"/>
    <n v="4499.95"/>
    <n v="997"/>
  </r>
  <r>
    <s v="TRX0169"/>
    <x v="146"/>
    <s v="CUST047"/>
    <x v="46"/>
    <s v="P005"/>
    <x v="1"/>
    <x v="1"/>
    <n v="3"/>
    <n v="59.99"/>
    <x v="2"/>
    <x v="0"/>
    <x v="2"/>
    <d v="2023-07-23T00:00:00"/>
    <n v="179.97"/>
    <n v="360"/>
  </r>
  <r>
    <s v="TRX0215"/>
    <x v="25"/>
    <s v="CUST047"/>
    <x v="46"/>
    <s v="P009"/>
    <x v="9"/>
    <x v="2"/>
    <n v="4"/>
    <n v="249.99"/>
    <x v="3"/>
    <x v="1"/>
    <x v="0"/>
    <d v="2023-07-20T00:00:00"/>
    <n v="999.96"/>
    <n v="371"/>
  </r>
  <r>
    <s v="TRX0039"/>
    <x v="157"/>
    <s v="CUST048"/>
    <x v="47"/>
    <s v="P004"/>
    <x v="6"/>
    <x v="1"/>
    <n v="3"/>
    <n v="79.989999999999995"/>
    <x v="2"/>
    <x v="4"/>
    <x v="2"/>
    <d v="2021-11-11T00:00:00"/>
    <n v="239.97"/>
    <n v="1244"/>
  </r>
  <r>
    <s v="TRX0048"/>
    <x v="62"/>
    <s v="CUST048"/>
    <x v="47"/>
    <s v="P007"/>
    <x v="3"/>
    <x v="0"/>
    <n v="2"/>
    <n v="299.99"/>
    <x v="0"/>
    <x v="3"/>
    <x v="2"/>
    <d v="2022-01-15T00:00:00"/>
    <n v="599.98"/>
    <n v="1139"/>
  </r>
  <r>
    <s v="TRX0105"/>
    <x v="148"/>
    <s v="CUST048"/>
    <x v="47"/>
    <s v="P007"/>
    <x v="3"/>
    <x v="0"/>
    <n v="5"/>
    <n v="299.99"/>
    <x v="2"/>
    <x v="3"/>
    <x v="2"/>
    <d v="2023-02-02T00:00:00"/>
    <n v="1499.95"/>
    <n v="736"/>
  </r>
  <r>
    <s v="TRX0197"/>
    <x v="108"/>
    <s v="CUST048"/>
    <x v="47"/>
    <s v="P008"/>
    <x v="0"/>
    <x v="0"/>
    <n v="3"/>
    <n v="149.99"/>
    <x v="0"/>
    <x v="1"/>
    <x v="0"/>
    <d v="2023-09-02T00:00:00"/>
    <n v="449.97"/>
    <n v="575"/>
  </r>
  <r>
    <s v="TRX0222"/>
    <x v="40"/>
    <s v="CUST048"/>
    <x v="47"/>
    <s v="P009"/>
    <x v="9"/>
    <x v="2"/>
    <n v="3"/>
    <n v="249.99"/>
    <x v="2"/>
    <x v="4"/>
    <x v="1"/>
    <d v="2023-10-25T00:00:00"/>
    <n v="749.97"/>
    <n v="186"/>
  </r>
  <r>
    <s v="TRX0243"/>
    <x v="136"/>
    <s v="CUST048"/>
    <x v="47"/>
    <s v="P009"/>
    <x v="9"/>
    <x v="2"/>
    <n v="5"/>
    <n v="249.99"/>
    <x v="2"/>
    <x v="3"/>
    <x v="2"/>
    <d v="2024-02-08T00:00:00"/>
    <n v="1249.95"/>
    <n v="337"/>
  </r>
  <r>
    <s v="TRX0025"/>
    <x v="158"/>
    <s v="CUST049"/>
    <x v="48"/>
    <s v="P010"/>
    <x v="2"/>
    <x v="2"/>
    <n v="4"/>
    <n v="89.99"/>
    <x v="3"/>
    <x v="3"/>
    <x v="2"/>
    <d v="2023-12-21T00:00:00"/>
    <n v="359.96"/>
    <n v="187"/>
  </r>
  <r>
    <s v="TRX0034"/>
    <x v="75"/>
    <s v="CUST049"/>
    <x v="48"/>
    <s v="P002"/>
    <x v="4"/>
    <x v="2"/>
    <n v="4"/>
    <n v="699.99"/>
    <x v="2"/>
    <x v="1"/>
    <x v="2"/>
    <d v="2024-04-03T00:00:00"/>
    <n v="2799.96"/>
    <n v="196"/>
  </r>
  <r>
    <s v="TRX0136"/>
    <x v="159"/>
    <s v="CUST049"/>
    <x v="48"/>
    <s v="P005"/>
    <x v="1"/>
    <x v="1"/>
    <n v="4"/>
    <n v="59.99"/>
    <x v="1"/>
    <x v="3"/>
    <x v="0"/>
    <d v="2021-11-09T00:00:00"/>
    <n v="239.96"/>
    <n v="973"/>
  </r>
  <r>
    <s v="TRX0153"/>
    <x v="160"/>
    <s v="CUST049"/>
    <x v="48"/>
    <s v="P010"/>
    <x v="2"/>
    <x v="2"/>
    <n v="3"/>
    <n v="89.99"/>
    <x v="2"/>
    <x v="4"/>
    <x v="0"/>
    <d v="2022-02-23T00:00:00"/>
    <n v="269.97000000000003"/>
    <n v="977"/>
  </r>
  <r>
    <s v="TRX0093"/>
    <x v="161"/>
    <s v="CUST050"/>
    <x v="49"/>
    <s v="P005"/>
    <x v="1"/>
    <x v="1"/>
    <n v="4"/>
    <n v="59.99"/>
    <x v="1"/>
    <x v="2"/>
    <x v="0"/>
    <d v="2021-08-27T00:00:00"/>
    <n v="239.96"/>
    <n v="10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A402BD-EAE8-4D6C-8CA6-86AE619F97B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Items">
  <location ref="R11:S22"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pivotField>
    <pivotField showAll="0"/>
    <pivotField axis="axisRow" showAll="0" sortType="descending">
      <items count="11">
        <item x="1"/>
        <item x="0"/>
        <item x="6"/>
        <item x="3"/>
        <item x="7"/>
        <item x="2"/>
        <item x="8"/>
        <item x="9"/>
        <item x="5"/>
        <item x="4"/>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5"/>
  </rowFields>
  <rowItems count="11">
    <i>
      <x v="6"/>
    </i>
    <i>
      <x v="9"/>
    </i>
    <i>
      <x v="3"/>
    </i>
    <i>
      <x v="7"/>
    </i>
    <i>
      <x v="1"/>
    </i>
    <i>
      <x v="8"/>
    </i>
    <i>
      <x v="5"/>
    </i>
    <i>
      <x v="4"/>
    </i>
    <i>
      <x/>
    </i>
    <i>
      <x v="2"/>
    </i>
    <i t="grand">
      <x/>
    </i>
  </rowItems>
  <colItems count="1">
    <i/>
  </colItems>
  <dataFields count="1">
    <dataField name="Sum of Total_Amount" fld="13" baseField="0" baseItem="0"/>
  </dataFields>
  <formats count="27">
    <format dxfId="67">
      <pivotArea field="6" type="button" dataOnly="0" labelOnly="1" outline="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field="6" type="button" dataOnly="0" labelOnly="1" outline="0"/>
    </format>
    <format dxfId="62">
      <pivotArea dataOnly="0" labelOnly="1" grandRow="1" outline="0" fieldPosition="0"/>
    </format>
    <format dxfId="61">
      <pivotArea dataOnly="0" labelOnly="1" outline="0" axis="axisValues" fieldPosition="0"/>
    </format>
    <format dxfId="60">
      <pivotArea grandRow="1" outline="0" collapsedLevelsAreSubtotals="1" fieldPosition="0"/>
    </format>
    <format dxfId="59">
      <pivotArea dataOnly="0" labelOnly="1" grandRow="1" outline="0" fieldPosition="0"/>
    </format>
    <format dxfId="58">
      <pivotArea type="all" dataOnly="0" outline="0" fieldPosition="0"/>
    </format>
    <format dxfId="57">
      <pivotArea outline="0" collapsedLevelsAreSubtotals="1" fieldPosition="0"/>
    </format>
    <format dxfId="56">
      <pivotArea field="6" type="button" dataOnly="0" labelOnly="1" outline="0"/>
    </format>
    <format dxfId="55">
      <pivotArea dataOnly="0" labelOnly="1" grandRow="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field="6" type="button" dataOnly="0" labelOnly="1" outline="0"/>
    </format>
    <format dxfId="50">
      <pivotArea dataOnly="0" labelOnly="1" grandRow="1" outline="0" fieldPosition="0"/>
    </format>
    <format dxfId="49">
      <pivotArea dataOnly="0" labelOnly="1" outline="0" axis="axisValues" fieldPosition="0"/>
    </format>
    <format dxfId="48">
      <pivotArea field="6" type="button" dataOnly="0" labelOnly="1" outline="0"/>
    </format>
    <format dxfId="47">
      <pivotArea dataOnly="0" labelOnly="1" grandRow="1" outline="0" fieldPosition="0"/>
    </format>
    <format dxfId="46">
      <pivotArea dataOnly="0" labelOnly="1" outline="0" axis="axisValues" fieldPosition="0"/>
    </format>
    <format dxfId="45">
      <pivotArea outline="0" collapsedLevelsAreSubtotals="1" fieldPosition="0"/>
    </format>
    <format dxfId="44">
      <pivotArea field="6" type="button" dataOnly="0" labelOnly="1" outline="0"/>
    </format>
    <format dxfId="43">
      <pivotArea field="3" type="button" dataOnly="0" labelOnly="1" outline="0"/>
    </format>
    <format dxfId="42">
      <pivotArea field="3" type="button" dataOnly="0" labelOnly="1" outline="0"/>
    </format>
    <format dxfId="41">
      <pivotArea field="5" type="button" dataOnly="0" labelOnly="1" outline="0" axis="axisRow" fieldPosition="0"/>
    </format>
  </format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336C66-B5A8-4153-9B95-6E1EBFC1B4C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Type">
  <location ref="N2:O6"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pivotField>
    <pivotField showAll="0"/>
    <pivotField showAll="0"/>
    <pivotField showAll="0">
      <items count="4">
        <item x="1"/>
        <item x="2"/>
        <item x="0"/>
        <item t="default"/>
      </items>
    </pivotField>
    <pivotField showAll="0"/>
    <pivotField numFmtId="164" showAll="0"/>
    <pivotField showAll="0"/>
    <pivotField showAll="0"/>
    <pivotField axis="axisRow" dataField="1" showAll="0">
      <items count="4">
        <item x="2"/>
        <item x="1"/>
        <item x="0"/>
        <item t="default"/>
      </items>
    </pivotField>
    <pivotField numFmtId="14" showAll="0"/>
    <pivotField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1"/>
  </rowFields>
  <rowItems count="4">
    <i>
      <x/>
    </i>
    <i>
      <x v="1"/>
    </i>
    <i>
      <x v="2"/>
    </i>
    <i t="grand">
      <x/>
    </i>
  </rowItems>
  <colItems count="1">
    <i/>
  </colItems>
  <dataFields count="1">
    <dataField name="Total Type" fld="11" subtotal="count" baseField="11" baseItem="0"/>
  </dataFields>
  <formats count="28">
    <format dxfId="95">
      <pivotArea field="6" type="button" dataOnly="0" labelOnly="1" outline="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field="6" type="button" dataOnly="0" labelOnly="1" outline="0"/>
    </format>
    <format dxfId="90">
      <pivotArea dataOnly="0" labelOnly="1" grandRow="1" outline="0" fieldPosition="0"/>
    </format>
    <format dxfId="89">
      <pivotArea dataOnly="0" labelOnly="1" outline="0" axis="axisValues" fieldPosition="0"/>
    </format>
    <format dxfId="88">
      <pivotArea grandRow="1" outline="0" collapsedLevelsAreSubtotals="1" fieldPosition="0"/>
    </format>
    <format dxfId="87">
      <pivotArea dataOnly="0" labelOnly="1" grandRow="1" outline="0" fieldPosition="0"/>
    </format>
    <format dxfId="86">
      <pivotArea type="all" dataOnly="0" outline="0" fieldPosition="0"/>
    </format>
    <format dxfId="85">
      <pivotArea outline="0" collapsedLevelsAreSubtotals="1" fieldPosition="0"/>
    </format>
    <format dxfId="84">
      <pivotArea field="6" type="button" dataOnly="0" labelOnly="1" outline="0"/>
    </format>
    <format dxfId="83">
      <pivotArea dataOnly="0" labelOnly="1" grandRow="1" outline="0" fieldPosition="0"/>
    </format>
    <format dxfId="82">
      <pivotArea dataOnly="0" labelOnly="1" outline="0" axis="axisValues" fieldPosition="0"/>
    </format>
    <format dxfId="81">
      <pivotArea type="all" dataOnly="0" outline="0" fieldPosition="0"/>
    </format>
    <format dxfId="80">
      <pivotArea outline="0" collapsedLevelsAreSubtotals="1" fieldPosition="0"/>
    </format>
    <format dxfId="79">
      <pivotArea field="6" type="button" dataOnly="0" labelOnly="1" outline="0"/>
    </format>
    <format dxfId="78">
      <pivotArea dataOnly="0" labelOnly="1" grandRow="1" outline="0" fieldPosition="0"/>
    </format>
    <format dxfId="77">
      <pivotArea dataOnly="0" labelOnly="1" outline="0" axis="axisValues" fieldPosition="0"/>
    </format>
    <format dxfId="76">
      <pivotArea field="6" type="button" dataOnly="0" labelOnly="1" outline="0"/>
    </format>
    <format dxfId="75">
      <pivotArea dataOnly="0" labelOnly="1" grandRow="1" outline="0" fieldPosition="0"/>
    </format>
    <format dxfId="74">
      <pivotArea dataOnly="0" labelOnly="1" outline="0" axis="axisValues" fieldPosition="0"/>
    </format>
    <format dxfId="73">
      <pivotArea field="6" type="button" dataOnly="0" labelOnly="1" outline="0"/>
    </format>
    <format dxfId="72">
      <pivotArea field="3" type="button" dataOnly="0" labelOnly="1" outline="0"/>
    </format>
    <format dxfId="71">
      <pivotArea outline="0" collapsedLevelsAreSubtotals="1" fieldPosition="0"/>
    </format>
    <format dxfId="70">
      <pivotArea field="11" type="button" dataOnly="0" labelOnly="1" outline="0" axis="axisRow" fieldPosition="0"/>
    </format>
    <format dxfId="69">
      <pivotArea field="11" type="button" dataOnly="0" labelOnly="1" outline="0" axis="axisRow" fieldPosition="0"/>
    </format>
    <format dxfId="68">
      <pivotArea field="11"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137704-3656-4D9F-9AD2-BF8D58125EA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ustomer Name">
  <location ref="E25:F36"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axis="axisRow" showAll="0" measureFilter="1" sortType="descending">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2"/>
        <item x="0"/>
        <item t="default"/>
      </items>
    </pivotField>
    <pivotField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11">
    <i>
      <x v="32"/>
    </i>
    <i>
      <x v="11"/>
    </i>
    <i>
      <x v="1"/>
    </i>
    <i>
      <x v="36"/>
    </i>
    <i>
      <x v="37"/>
    </i>
    <i>
      <x v="9"/>
    </i>
    <i>
      <x v="24"/>
    </i>
    <i>
      <x v="6"/>
    </i>
    <i>
      <x v="27"/>
    </i>
    <i>
      <x v="22"/>
    </i>
    <i t="grand">
      <x/>
    </i>
  </rowItems>
  <colItems count="1">
    <i/>
  </colItems>
  <dataFields count="1">
    <dataField name="Sales" fld="13" baseField="3" baseItem="32"/>
  </dataFields>
  <formats count="26">
    <format dxfId="121">
      <pivotArea field="6" type="button" dataOnly="0" labelOnly="1" outline="0"/>
    </format>
    <format dxfId="120">
      <pivotArea dataOnly="0" labelOnly="1" outline="0" axis="axisValues" fieldPosition="0"/>
    </format>
    <format dxfId="119">
      <pivotArea type="all" dataOnly="0" outline="0" fieldPosition="0"/>
    </format>
    <format dxfId="118">
      <pivotArea outline="0" collapsedLevelsAreSubtotals="1" fieldPosition="0"/>
    </format>
    <format dxfId="117">
      <pivotArea field="6" type="button" dataOnly="0" labelOnly="1" outline="0"/>
    </format>
    <format dxfId="116">
      <pivotArea dataOnly="0" labelOnly="1" grandRow="1" outline="0" fieldPosition="0"/>
    </format>
    <format dxfId="115">
      <pivotArea dataOnly="0" labelOnly="1" outline="0" axis="axisValues" fieldPosition="0"/>
    </format>
    <format dxfId="114">
      <pivotArea grandRow="1" outline="0" collapsedLevelsAreSubtotals="1" fieldPosition="0"/>
    </format>
    <format dxfId="113">
      <pivotArea dataOnly="0" labelOnly="1" grandRow="1" outline="0" fieldPosition="0"/>
    </format>
    <format dxfId="112">
      <pivotArea type="all" dataOnly="0" outline="0" fieldPosition="0"/>
    </format>
    <format dxfId="111">
      <pivotArea outline="0" collapsedLevelsAreSubtotals="1" fieldPosition="0"/>
    </format>
    <format dxfId="110">
      <pivotArea field="6" type="button" dataOnly="0" labelOnly="1" outline="0"/>
    </format>
    <format dxfId="109">
      <pivotArea dataOnly="0" labelOnly="1" grandRow="1" outline="0" fieldPosition="0"/>
    </format>
    <format dxfId="108">
      <pivotArea dataOnly="0" labelOnly="1" outline="0" axis="axisValues" fieldPosition="0"/>
    </format>
    <format dxfId="107">
      <pivotArea type="all" dataOnly="0" outline="0" fieldPosition="0"/>
    </format>
    <format dxfId="106">
      <pivotArea outline="0" collapsedLevelsAreSubtotals="1" fieldPosition="0"/>
    </format>
    <format dxfId="105">
      <pivotArea field="6" type="button" dataOnly="0" labelOnly="1" outline="0"/>
    </format>
    <format dxfId="104">
      <pivotArea dataOnly="0" labelOnly="1" grandRow="1" outline="0" fieldPosition="0"/>
    </format>
    <format dxfId="103">
      <pivotArea dataOnly="0" labelOnly="1" outline="0" axis="axisValues" fieldPosition="0"/>
    </format>
    <format dxfId="102">
      <pivotArea field="6" type="button" dataOnly="0" labelOnly="1" outline="0"/>
    </format>
    <format dxfId="101">
      <pivotArea dataOnly="0" labelOnly="1" grandRow="1" outline="0" fieldPosition="0"/>
    </format>
    <format dxfId="100">
      <pivotArea dataOnly="0" labelOnly="1" outline="0" axis="axisValues" fieldPosition="0"/>
    </format>
    <format dxfId="99">
      <pivotArea outline="0" collapsedLevelsAreSubtotals="1" fieldPosition="0"/>
    </format>
    <format dxfId="98">
      <pivotArea field="6" type="button" dataOnly="0" labelOnly="1" outline="0"/>
    </format>
    <format dxfId="97">
      <pivotArea field="3" type="button" dataOnly="0" labelOnly="1" outline="0" axis="axisRow" fieldPosition="0"/>
    </format>
    <format dxfId="96">
      <pivotArea field="3" type="button" dataOnly="0" labelOnly="1" outline="0" axis="axisRow" fieldPosition="0"/>
    </format>
  </formats>
  <pivotTableStyleInfo name="PivotStyleLight16" showRowHeaders="1" showColHeaders="1" showRowStripes="0" showColStripes="0" showLastColumn="1"/>
  <filters count="1">
    <filter fld="3"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B1C5-2634-455B-B38A-3E951292DC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E3:F9"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items count="11">
        <item x="1"/>
        <item x="0"/>
        <item x="6"/>
        <item x="3"/>
        <item x="7"/>
        <item x="2"/>
        <item x="8"/>
        <item x="9"/>
        <item x="5"/>
        <item x="4"/>
        <item t="default"/>
      </items>
    </pivotField>
    <pivotField showAll="0">
      <items count="4">
        <item x="1"/>
        <item x="2"/>
        <item x="0"/>
        <item t="default"/>
      </items>
    </pivotField>
    <pivotField showAll="0"/>
    <pivotField numFmtId="164" showAll="0"/>
    <pivotField showAll="0"/>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Items count="1">
    <i/>
  </colItems>
  <dataFields count="1">
    <dataField name="Sales" fld="13" baseField="10" baseItem="1"/>
  </dataFields>
  <formats count="26">
    <format dxfId="147">
      <pivotArea field="6" type="button" dataOnly="0" labelOnly="1" outline="0"/>
    </format>
    <format dxfId="146">
      <pivotArea dataOnly="0" labelOnly="1" outline="0" axis="axisValues" fieldPosition="0"/>
    </format>
    <format dxfId="145">
      <pivotArea type="all" dataOnly="0" outline="0" fieldPosition="0"/>
    </format>
    <format dxfId="144">
      <pivotArea outline="0" collapsedLevelsAreSubtotals="1" fieldPosition="0"/>
    </format>
    <format dxfId="143">
      <pivotArea field="6" type="button" dataOnly="0" labelOnly="1" outline="0"/>
    </format>
    <format dxfId="142">
      <pivotArea dataOnly="0" labelOnly="1" grandRow="1" outline="0" fieldPosition="0"/>
    </format>
    <format dxfId="141">
      <pivotArea dataOnly="0" labelOnly="1" outline="0" axis="axisValues" fieldPosition="0"/>
    </format>
    <format dxfId="140">
      <pivotArea grandRow="1" outline="0" collapsedLevelsAreSubtotals="1" fieldPosition="0"/>
    </format>
    <format dxfId="139">
      <pivotArea dataOnly="0" labelOnly="1" grandRow="1" outline="0" fieldPosition="0"/>
    </format>
    <format dxfId="138">
      <pivotArea type="all" dataOnly="0" outline="0" fieldPosition="0"/>
    </format>
    <format dxfId="137">
      <pivotArea outline="0" collapsedLevelsAreSubtotals="1" fieldPosition="0"/>
    </format>
    <format dxfId="136">
      <pivotArea field="6" type="button" dataOnly="0" labelOnly="1" outline="0"/>
    </format>
    <format dxfId="135">
      <pivotArea dataOnly="0" labelOnly="1" grandRow="1" outline="0" fieldPosition="0"/>
    </format>
    <format dxfId="134">
      <pivotArea dataOnly="0" labelOnly="1" outline="0" axis="axisValues" fieldPosition="0"/>
    </format>
    <format dxfId="133">
      <pivotArea type="all" dataOnly="0" outline="0" fieldPosition="0"/>
    </format>
    <format dxfId="132">
      <pivotArea outline="0" collapsedLevelsAreSubtotals="1" fieldPosition="0"/>
    </format>
    <format dxfId="131">
      <pivotArea field="6" type="button" dataOnly="0" labelOnly="1" outline="0"/>
    </format>
    <format dxfId="130">
      <pivotArea dataOnly="0" labelOnly="1" grandRow="1" outline="0" fieldPosition="0"/>
    </format>
    <format dxfId="129">
      <pivotArea dataOnly="0" labelOnly="1" outline="0" axis="axisValues" fieldPosition="0"/>
    </format>
    <format dxfId="128">
      <pivotArea field="6" type="button" dataOnly="0" labelOnly="1" outline="0"/>
    </format>
    <format dxfId="127">
      <pivotArea dataOnly="0" labelOnly="1" grandRow="1" outline="0" fieldPosition="0"/>
    </format>
    <format dxfId="126">
      <pivotArea dataOnly="0" labelOnly="1" outline="0" axis="axisValues" fieldPosition="0"/>
    </format>
    <format dxfId="125">
      <pivotArea outline="0" collapsedLevelsAreSubtotals="1" fieldPosition="0"/>
    </format>
    <format dxfId="124">
      <pivotArea field="10" type="button" dataOnly="0" labelOnly="1" outline="0" axis="axisRow" fieldPosition="0"/>
    </format>
    <format dxfId="123">
      <pivotArea dataOnly="0" labelOnly="1" outline="0" axis="axisValues" fieldPosition="0"/>
    </format>
    <format dxfId="122">
      <pivotArea dataOnly="0" labelOnly="1" outline="0" fieldPosition="0">
        <references count="1">
          <reference field="4294967294" count="1">
            <x v="0"/>
          </reference>
        </references>
      </pivotArea>
    </format>
  </formats>
  <chartFormats count="13">
    <chartFormat chart="11" format="14" series="1">
      <pivotArea type="data" outline="0" fieldPosition="0">
        <references count="1">
          <reference field="4294967294" count="1" selected="0">
            <x v="0"/>
          </reference>
        </references>
      </pivotArea>
    </chartFormat>
    <chartFormat chart="11" format="15">
      <pivotArea type="data" outline="0" fieldPosition="0">
        <references count="2">
          <reference field="4294967294" count="1" selected="0">
            <x v="0"/>
          </reference>
          <reference field="10" count="1" selected="0">
            <x v="1"/>
          </reference>
        </references>
      </pivotArea>
    </chartFormat>
    <chartFormat chart="11" format="16">
      <pivotArea type="data" outline="0" fieldPosition="0">
        <references count="2">
          <reference field="4294967294" count="1" selected="0">
            <x v="0"/>
          </reference>
          <reference field="10" count="1" selected="0">
            <x v="2"/>
          </reference>
        </references>
      </pivotArea>
    </chartFormat>
    <chartFormat chart="11" format="17">
      <pivotArea type="data" outline="0" fieldPosition="0">
        <references count="2">
          <reference field="4294967294" count="1" selected="0">
            <x v="0"/>
          </reference>
          <reference field="10" count="1" selected="0">
            <x v="4"/>
          </reference>
        </references>
      </pivotArea>
    </chartFormat>
    <chartFormat chart="11" format="18">
      <pivotArea type="data" outline="0" fieldPosition="0">
        <references count="2">
          <reference field="4294967294" count="1" selected="0">
            <x v="0"/>
          </reference>
          <reference field="10" count="1" selected="0">
            <x v="0"/>
          </reference>
        </references>
      </pivotArea>
    </chartFormat>
    <chartFormat chart="11" format="19">
      <pivotArea type="data" outline="0" fieldPosition="0">
        <references count="2">
          <reference field="4294967294" count="1" selected="0">
            <x v="0"/>
          </reference>
          <reference field="10" count="1" selected="0">
            <x v="3"/>
          </reference>
        </references>
      </pivotArea>
    </chartFormat>
    <chartFormat chart="12" format="0"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0"/>
          </reference>
        </references>
      </pivotArea>
    </chartFormat>
    <chartFormat chart="15" format="8">
      <pivotArea type="data" outline="0" fieldPosition="0">
        <references count="2">
          <reference field="4294967294" count="1" selected="0">
            <x v="0"/>
          </reference>
          <reference field="10" count="1" selected="0">
            <x v="1"/>
          </reference>
        </references>
      </pivotArea>
    </chartFormat>
    <chartFormat chart="15" format="9">
      <pivotArea type="data" outline="0" fieldPosition="0">
        <references count="2">
          <reference field="4294967294" count="1" selected="0">
            <x v="0"/>
          </reference>
          <reference field="10" count="1" selected="0">
            <x v="2"/>
          </reference>
        </references>
      </pivotArea>
    </chartFormat>
    <chartFormat chart="15" format="10">
      <pivotArea type="data" outline="0" fieldPosition="0">
        <references count="2">
          <reference field="4294967294" count="1" selected="0">
            <x v="0"/>
          </reference>
          <reference field="10" count="1" selected="0">
            <x v="4"/>
          </reference>
        </references>
      </pivotArea>
    </chartFormat>
    <chartFormat chart="15" format="11">
      <pivotArea type="data" outline="0" fieldPosition="0">
        <references count="2">
          <reference field="4294967294" count="1" selected="0">
            <x v="0"/>
          </reference>
          <reference field="10" count="1" selected="0">
            <x v="0"/>
          </reference>
        </references>
      </pivotArea>
    </chartFormat>
    <chartFormat chart="15" format="12">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45D8A7-285B-498E-86CE-05E8F198293B}"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Months">
  <location ref="A14:B30" firstHeaderRow="1" firstDataRow="1" firstDataCol="1"/>
  <pivotFields count="18">
    <pivotField showAll="0"/>
    <pivotField axis="axisRow"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showAll="0">
      <items count="4">
        <item x="1"/>
        <item x="2"/>
        <item x="0"/>
        <item t="default"/>
      </items>
    </pivotField>
    <pivotField showAll="0"/>
    <pivotField numFmtId="164" showAll="0"/>
    <pivotField showAll="0"/>
    <pivotField showAll="0">
      <items count="6">
        <item x="1"/>
        <item x="2"/>
        <item x="4"/>
        <item x="3"/>
        <item x="0"/>
        <item t="default"/>
      </items>
    </pivotField>
    <pivotField showAll="0"/>
    <pivotField numFmtId="14" showAll="0"/>
    <pivotField dataField="1" numFmtId="164" showAll="0"/>
    <pivotField numFmtId="165"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3">
    <field x="17"/>
    <field x="15"/>
    <field x="1"/>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Total Sales" fld="13" baseField="17" baseItem="1"/>
  </dataFields>
  <formats count="40">
    <format dxfId="187">
      <pivotArea field="6" type="button" dataOnly="0" labelOnly="1" outline="0"/>
    </format>
    <format dxfId="186">
      <pivotArea dataOnly="0" labelOnly="1" outline="0" axis="axisValues" fieldPosition="0"/>
    </format>
    <format dxfId="185">
      <pivotArea type="all" dataOnly="0" outline="0" fieldPosition="0"/>
    </format>
    <format dxfId="184">
      <pivotArea outline="0" collapsedLevelsAreSubtotals="1" fieldPosition="0"/>
    </format>
    <format dxfId="183">
      <pivotArea field="6" type="button" dataOnly="0" labelOnly="1" outline="0"/>
    </format>
    <format dxfId="182">
      <pivotArea dataOnly="0" labelOnly="1" grandRow="1" outline="0" fieldPosition="0"/>
    </format>
    <format dxfId="181">
      <pivotArea dataOnly="0" labelOnly="1" outline="0" axis="axisValues" fieldPosition="0"/>
    </format>
    <format dxfId="180">
      <pivotArea grandRow="1" outline="0" collapsedLevelsAreSubtotals="1" fieldPosition="0"/>
    </format>
    <format dxfId="179">
      <pivotArea dataOnly="0" labelOnly="1" grandRow="1" outline="0" fieldPosition="0"/>
    </format>
    <format dxfId="178">
      <pivotArea type="all" dataOnly="0" outline="0" fieldPosition="0"/>
    </format>
    <format dxfId="177">
      <pivotArea outline="0" collapsedLevelsAreSubtotals="1" fieldPosition="0"/>
    </format>
    <format dxfId="176">
      <pivotArea field="6" type="button" dataOnly="0" labelOnly="1" outline="0"/>
    </format>
    <format dxfId="175">
      <pivotArea dataOnly="0" labelOnly="1" grandRow="1" outline="0" fieldPosition="0"/>
    </format>
    <format dxfId="174">
      <pivotArea dataOnly="0" labelOnly="1" outline="0" axis="axisValues" fieldPosition="0"/>
    </format>
    <format dxfId="173">
      <pivotArea type="all" dataOnly="0" outline="0" fieldPosition="0"/>
    </format>
    <format dxfId="172">
      <pivotArea outline="0" collapsedLevelsAreSubtotals="1" fieldPosition="0"/>
    </format>
    <format dxfId="171">
      <pivotArea field="6" type="button" dataOnly="0" labelOnly="1" outline="0"/>
    </format>
    <format dxfId="170">
      <pivotArea dataOnly="0" labelOnly="1" grandRow="1" outline="0" fieldPosition="0"/>
    </format>
    <format dxfId="169">
      <pivotArea dataOnly="0" labelOnly="1" outline="0" axis="axisValues" fieldPosition="0"/>
    </format>
    <format dxfId="168">
      <pivotArea field="6" type="button" dataOnly="0" labelOnly="1" outline="0"/>
    </format>
    <format dxfId="167">
      <pivotArea dataOnly="0" labelOnly="1" grandRow="1" outline="0" fieldPosition="0"/>
    </format>
    <format dxfId="166">
      <pivotArea dataOnly="0" labelOnly="1" outline="0" axis="axisValues" fieldPosition="0"/>
    </format>
    <format dxfId="165">
      <pivotArea outline="0" collapsedLevelsAreSubtotals="1" fieldPosition="0"/>
    </format>
    <format dxfId="164">
      <pivotArea field="10" type="button" dataOnly="0" labelOnly="1" outline="0"/>
    </format>
    <format dxfId="163">
      <pivotArea dataOnly="0" labelOnly="1" outline="0" axis="axisValues" fieldPosition="0"/>
    </format>
    <format dxfId="162">
      <pivotArea dataOnly="0" labelOnly="1" outline="0" fieldPosition="0">
        <references count="1">
          <reference field="4294967294" count="1">
            <x v="0"/>
          </reference>
        </references>
      </pivotArea>
    </format>
    <format dxfId="161">
      <pivotArea field="17" type="button" dataOnly="0" labelOnly="1" outline="0" axis="axisRow" fieldPosition="0"/>
    </format>
    <format dxfId="160">
      <pivotArea collapsedLevelsAreSubtotals="1" fieldPosition="0">
        <references count="2">
          <reference field="15" count="1">
            <x v="4"/>
          </reference>
          <reference field="17" count="1" selected="0">
            <x v="1"/>
          </reference>
        </references>
      </pivotArea>
    </format>
    <format dxfId="159">
      <pivotArea collapsedLevelsAreSubtotals="1" fieldPosition="0">
        <references count="2">
          <reference field="15" count="1">
            <x v="5"/>
          </reference>
          <reference field="17" count="1" selected="0">
            <x v="1"/>
          </reference>
        </references>
      </pivotArea>
    </format>
    <format dxfId="158">
      <pivotArea collapsedLevelsAreSubtotals="1" fieldPosition="0">
        <references count="2">
          <reference field="15" count="1">
            <x v="6"/>
          </reference>
          <reference field="17" count="1" selected="0">
            <x v="1"/>
          </reference>
        </references>
      </pivotArea>
    </format>
    <format dxfId="157">
      <pivotArea collapsedLevelsAreSubtotals="1" fieldPosition="0">
        <references count="2">
          <reference field="15" count="1">
            <x v="7"/>
          </reference>
          <reference field="17" count="1" selected="0">
            <x v="1"/>
          </reference>
        </references>
      </pivotArea>
    </format>
    <format dxfId="156">
      <pivotArea collapsedLevelsAreSubtotals="1" fieldPosition="0">
        <references count="2">
          <reference field="15" count="1">
            <x v="8"/>
          </reference>
          <reference field="17" count="1" selected="0">
            <x v="1"/>
          </reference>
        </references>
      </pivotArea>
    </format>
    <format dxfId="155">
      <pivotArea collapsedLevelsAreSubtotals="1" fieldPosition="0">
        <references count="2">
          <reference field="15" count="1">
            <x v="9"/>
          </reference>
          <reference field="17" count="1" selected="0">
            <x v="1"/>
          </reference>
        </references>
      </pivotArea>
    </format>
    <format dxfId="154">
      <pivotArea collapsedLevelsAreSubtotals="1" fieldPosition="0">
        <references count="2">
          <reference field="15" count="1">
            <x v="10"/>
          </reference>
          <reference field="17" count="1" selected="0">
            <x v="1"/>
          </reference>
        </references>
      </pivotArea>
    </format>
    <format dxfId="153">
      <pivotArea collapsedLevelsAreSubtotals="1" fieldPosition="0">
        <references count="2">
          <reference field="15" count="1">
            <x v="11"/>
          </reference>
          <reference field="17" count="1" selected="0">
            <x v="1"/>
          </reference>
        </references>
      </pivotArea>
    </format>
    <format dxfId="152">
      <pivotArea collapsedLevelsAreSubtotals="1" fieldPosition="0">
        <references count="2">
          <reference field="15" count="1">
            <x v="12"/>
          </reference>
          <reference field="17" count="1" selected="0">
            <x v="1"/>
          </reference>
        </references>
      </pivotArea>
    </format>
    <format dxfId="151">
      <pivotArea collapsedLevelsAreSubtotals="1" fieldPosition="0">
        <references count="1">
          <reference field="17" count="1">
            <x v="1"/>
          </reference>
        </references>
      </pivotArea>
    </format>
    <format dxfId="150">
      <pivotArea dataOnly="0" labelOnly="1" fieldPosition="0">
        <references count="1">
          <reference field="17" count="1">
            <x v="1"/>
          </reference>
        </references>
      </pivotArea>
    </format>
    <format dxfId="149">
      <pivotArea dataOnly="0" labelOnly="1" fieldPosition="0">
        <references count="1">
          <reference field="17" count="1">
            <x v="2"/>
          </reference>
        </references>
      </pivotArea>
    </format>
    <format dxfId="148">
      <pivotArea collapsedLevelsAreSubtotals="1" fieldPosition="0">
        <references count="2">
          <reference field="4294967294" count="1" selected="0">
            <x v="0"/>
          </reference>
          <reference field="17" count="1">
            <x v="2"/>
          </reference>
        </references>
      </pivotArea>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89CC22-8DE7-4208-BCF8-A264157C856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L25:N29" firstHeaderRow="0"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dataField="1"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6"/>
  </rowFields>
  <rowItems count="4">
    <i>
      <x v="1"/>
    </i>
    <i>
      <x v="2"/>
    </i>
    <i>
      <x/>
    </i>
    <i t="grand">
      <x/>
    </i>
  </rowItems>
  <colFields count="1">
    <field x="-2"/>
  </colFields>
  <colItems count="2">
    <i>
      <x/>
    </i>
    <i i="1">
      <x v="1"/>
    </i>
  </colItems>
  <dataFields count="2">
    <dataField name="Sales" fld="13" baseField="6" baseItem="1" numFmtId="166"/>
    <dataField name="Quantity " fld="7" baseField="6" baseItem="1"/>
  </dataFields>
  <formats count="35">
    <format dxfId="222">
      <pivotArea field="6" type="button" dataOnly="0" labelOnly="1" outline="0" axis="axisRow" fieldPosition="0"/>
    </format>
    <format dxfId="221">
      <pivotArea dataOnly="0" labelOnly="1" outline="0" axis="axisValues" fieldPosition="0"/>
    </format>
    <format dxfId="220">
      <pivotArea type="all" dataOnly="0" outline="0" fieldPosition="0"/>
    </format>
    <format dxfId="219">
      <pivotArea outline="0" collapsedLevelsAreSubtotals="1" fieldPosition="0"/>
    </format>
    <format dxfId="218">
      <pivotArea field="6" type="button" dataOnly="0" labelOnly="1" outline="0" axis="axisRow" fieldPosition="0"/>
    </format>
    <format dxfId="217">
      <pivotArea dataOnly="0" labelOnly="1" fieldPosition="0">
        <references count="1">
          <reference field="6" count="0"/>
        </references>
      </pivotArea>
    </format>
    <format dxfId="216">
      <pivotArea dataOnly="0" labelOnly="1" grandRow="1" outline="0" fieldPosition="0"/>
    </format>
    <format dxfId="215">
      <pivotArea dataOnly="0" labelOnly="1" outline="0" axis="axisValues" fieldPosition="0"/>
    </format>
    <format dxfId="214">
      <pivotArea grandRow="1" outline="0" collapsedLevelsAreSubtotals="1" fieldPosition="0"/>
    </format>
    <format dxfId="213">
      <pivotArea dataOnly="0" labelOnly="1" grandRow="1" outline="0" fieldPosition="0"/>
    </format>
    <format dxfId="212">
      <pivotArea type="all" dataOnly="0" outline="0" fieldPosition="0"/>
    </format>
    <format dxfId="211">
      <pivotArea outline="0" collapsedLevelsAreSubtotals="1" fieldPosition="0"/>
    </format>
    <format dxfId="210">
      <pivotArea field="6" type="button" dataOnly="0" labelOnly="1" outline="0" axis="axisRow" fieldPosition="0"/>
    </format>
    <format dxfId="209">
      <pivotArea dataOnly="0" labelOnly="1" fieldPosition="0">
        <references count="1">
          <reference field="6" count="0"/>
        </references>
      </pivotArea>
    </format>
    <format dxfId="208">
      <pivotArea dataOnly="0" labelOnly="1" grandRow="1" outline="0" fieldPosition="0"/>
    </format>
    <format dxfId="207">
      <pivotArea dataOnly="0" labelOnly="1" outline="0" axis="axisValues" fieldPosition="0"/>
    </format>
    <format dxfId="206">
      <pivotArea type="all" dataOnly="0" outline="0" fieldPosition="0"/>
    </format>
    <format dxfId="205">
      <pivotArea outline="0" collapsedLevelsAreSubtotals="1" fieldPosition="0"/>
    </format>
    <format dxfId="204">
      <pivotArea field="6" type="button" dataOnly="0" labelOnly="1" outline="0" axis="axisRow" fieldPosition="0"/>
    </format>
    <format dxfId="203">
      <pivotArea dataOnly="0" labelOnly="1" fieldPosition="0">
        <references count="1">
          <reference field="6" count="0"/>
        </references>
      </pivotArea>
    </format>
    <format dxfId="202">
      <pivotArea dataOnly="0" labelOnly="1" grandRow="1" outline="0" fieldPosition="0"/>
    </format>
    <format dxfId="201">
      <pivotArea dataOnly="0" labelOnly="1" outline="0" axis="axisValues" fieldPosition="0"/>
    </format>
    <format dxfId="200">
      <pivotArea field="6" type="button" dataOnly="0" labelOnly="1" outline="0" axis="axisRow" fieldPosition="0"/>
    </format>
    <format dxfId="199">
      <pivotArea dataOnly="0" labelOnly="1" fieldPosition="0">
        <references count="1">
          <reference field="6" count="0"/>
        </references>
      </pivotArea>
    </format>
    <format dxfId="198">
      <pivotArea dataOnly="0" labelOnly="1" grandRow="1" outline="0" fieldPosition="0"/>
    </format>
    <format dxfId="197">
      <pivotArea dataOnly="0" labelOnly="1" outline="0" axis="axisValues" fieldPosition="0"/>
    </format>
    <format dxfId="196">
      <pivotArea outline="0" collapsedLevelsAreSubtotals="1" fieldPosition="0"/>
    </format>
    <format dxfId="195">
      <pivotArea collapsedLevelsAreSubtotals="1" fieldPosition="0">
        <references count="2">
          <reference field="4294967294" count="1" selected="0">
            <x v="1"/>
          </reference>
          <reference field="6" count="0"/>
        </references>
      </pivotArea>
    </format>
    <format dxfId="194">
      <pivotArea field="6" type="button" dataOnly="0" labelOnly="1" outline="0" axis="axisRow" fieldPosition="0"/>
    </format>
    <format dxfId="193">
      <pivotArea dataOnly="0" labelOnly="1" outline="0" fieldPosition="0">
        <references count="1">
          <reference field="4294967294" count="2">
            <x v="0"/>
            <x v="1"/>
          </reference>
        </references>
      </pivotArea>
    </format>
    <format dxfId="192">
      <pivotArea dataOnly="0" labelOnly="1" outline="0" fieldPosition="0">
        <references count="1">
          <reference field="4294967294" count="1">
            <x v="0"/>
          </reference>
        </references>
      </pivotArea>
    </format>
    <format dxfId="191">
      <pivotArea outline="0" collapsedLevelsAreSubtotals="1" fieldPosition="0">
        <references count="1">
          <reference field="4294967294" count="1" selected="0">
            <x v="1"/>
          </reference>
        </references>
      </pivotArea>
    </format>
    <format dxfId="190">
      <pivotArea dataOnly="0" labelOnly="1" outline="0" fieldPosition="0">
        <references count="1">
          <reference field="4294967294" count="1">
            <x v="1"/>
          </reference>
        </references>
      </pivotArea>
    </format>
    <format dxfId="189">
      <pivotArea field="6" type="button" dataOnly="0" labelOnly="1" outline="0" axis="axisRow" fieldPosition="0"/>
    </format>
    <format dxfId="188">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00565D-8821-43D3-A2B9-2C2A37860A5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colHeaderCaption="Category ">
  <location ref="H3:L10" firstHeaderRow="1" firstDataRow="2"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items count="11">
        <item x="1"/>
        <item x="0"/>
        <item x="6"/>
        <item x="3"/>
        <item x="7"/>
        <item x="2"/>
        <item x="8"/>
        <item x="9"/>
        <item x="5"/>
        <item x="4"/>
        <item t="default"/>
      </items>
    </pivotField>
    <pivotField axis="axisCol"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numFmtId="164" showAll="0"/>
    <pivotField showAll="0">
      <items count="5">
        <item x="1"/>
        <item x="2"/>
        <item x="3"/>
        <item x="0"/>
        <item t="default"/>
      </items>
    </pivotField>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Fields count="1">
    <field x="6"/>
  </colFields>
  <colItems count="4">
    <i>
      <x v="1"/>
    </i>
    <i>
      <x/>
    </i>
    <i>
      <x v="2"/>
    </i>
    <i t="grand">
      <x/>
    </i>
  </colItems>
  <dataFields count="1">
    <dataField name="Sum of Total_Amount" fld="13" baseField="0" baseItem="0"/>
  </dataFields>
  <formats count="46">
    <format dxfId="268">
      <pivotArea field="6" type="button" dataOnly="0" labelOnly="1" outline="0" axis="axisCol" fieldPosition="0"/>
    </format>
    <format dxfId="267">
      <pivotArea dataOnly="0" labelOnly="1" outline="0" axis="axisValues" fieldPosition="0"/>
    </format>
    <format dxfId="266">
      <pivotArea type="all" dataOnly="0" outline="0" fieldPosition="0"/>
    </format>
    <format dxfId="265">
      <pivotArea outline="0" collapsedLevelsAreSubtotals="1" fieldPosition="0"/>
    </format>
    <format dxfId="264">
      <pivotArea field="6" type="button" dataOnly="0" labelOnly="1" outline="0" axis="axisCol" fieldPosition="0"/>
    </format>
    <format dxfId="263">
      <pivotArea dataOnly="0" labelOnly="1" grandRow="1" outline="0" fieldPosition="0"/>
    </format>
    <format dxfId="262">
      <pivotArea dataOnly="0" labelOnly="1" outline="0" axis="axisValues" fieldPosition="0"/>
    </format>
    <format dxfId="261">
      <pivotArea grandRow="1" outline="0" collapsedLevelsAreSubtotals="1" fieldPosition="0"/>
    </format>
    <format dxfId="260">
      <pivotArea dataOnly="0" labelOnly="1" grandRow="1" outline="0" fieldPosition="0"/>
    </format>
    <format dxfId="259">
      <pivotArea type="all" dataOnly="0" outline="0" fieldPosition="0"/>
    </format>
    <format dxfId="258">
      <pivotArea outline="0" collapsedLevelsAreSubtotals="1" fieldPosition="0"/>
    </format>
    <format dxfId="257">
      <pivotArea field="6" type="button" dataOnly="0" labelOnly="1" outline="0" axis="axisCol" fieldPosition="0"/>
    </format>
    <format dxfId="256">
      <pivotArea dataOnly="0" labelOnly="1" grandRow="1" outline="0" fieldPosition="0"/>
    </format>
    <format dxfId="255">
      <pivotArea dataOnly="0" labelOnly="1" outline="0" axis="axisValues" fieldPosition="0"/>
    </format>
    <format dxfId="254">
      <pivotArea type="all" dataOnly="0" outline="0" fieldPosition="0"/>
    </format>
    <format dxfId="253">
      <pivotArea outline="0" collapsedLevelsAreSubtotals="1" fieldPosition="0"/>
    </format>
    <format dxfId="252">
      <pivotArea field="6" type="button" dataOnly="0" labelOnly="1" outline="0" axis="axisCol" fieldPosition="0"/>
    </format>
    <format dxfId="251">
      <pivotArea dataOnly="0" labelOnly="1" grandRow="1" outline="0" fieldPosition="0"/>
    </format>
    <format dxfId="250">
      <pivotArea dataOnly="0" labelOnly="1" outline="0" axis="axisValues" fieldPosition="0"/>
    </format>
    <format dxfId="249">
      <pivotArea field="6" type="button" dataOnly="0" labelOnly="1" outline="0" axis="axisCol" fieldPosition="0"/>
    </format>
    <format dxfId="248">
      <pivotArea dataOnly="0" labelOnly="1" grandRow="1" outline="0" fieldPosition="0"/>
    </format>
    <format dxfId="247">
      <pivotArea dataOnly="0" labelOnly="1" outline="0" axis="axisValues" fieldPosition="0"/>
    </format>
    <format dxfId="246">
      <pivotArea outline="0" collapsedLevelsAreSubtotals="1" fieldPosition="0"/>
    </format>
    <format dxfId="245">
      <pivotArea field="10" type="button" dataOnly="0" labelOnly="1" outline="0" axis="axisRow" fieldPosition="0"/>
    </format>
    <format dxfId="244">
      <pivotArea dataOnly="0" labelOnly="1" outline="0" axis="axisValues" fieldPosition="0"/>
    </format>
    <format dxfId="243">
      <pivotArea field="9" type="button" dataOnly="0" labelOnly="1" outline="0"/>
    </format>
    <format dxfId="242">
      <pivotArea outline="0" collapsedLevelsAreSubtotals="1" fieldPosition="0"/>
    </format>
    <format dxfId="241">
      <pivotArea field="5" type="button" dataOnly="0" labelOnly="1" outline="0"/>
    </format>
    <format dxfId="240">
      <pivotArea type="topRight" dataOnly="0" labelOnly="1" outline="0" fieldPosition="0"/>
    </format>
    <format dxfId="239">
      <pivotArea dataOnly="0" labelOnly="1" grandCol="1" outline="0" fieldPosition="0"/>
    </format>
    <format dxfId="238">
      <pivotArea type="origin" dataOnly="0" labelOnly="1" outline="0" fieldPosition="0"/>
    </format>
    <format dxfId="237">
      <pivotArea dataOnly="0" labelOnly="1" grandCol="1" outline="0" fieldPosition="0"/>
    </format>
    <format dxfId="236">
      <pivotArea grandCol="1" outline="0" collapsedLevelsAreSubtotals="1" fieldPosition="0"/>
    </format>
    <format dxfId="235">
      <pivotArea dataOnly="0" labelOnly="1" grandCol="1" outline="0" fieldPosition="0"/>
    </format>
    <format dxfId="234">
      <pivotArea dataOnly="0" labelOnly="1" fieldPosition="0">
        <references count="1">
          <reference field="6" count="1">
            <x v="2"/>
          </reference>
        </references>
      </pivotArea>
    </format>
    <format dxfId="233">
      <pivotArea dataOnly="0" labelOnly="1" fieldPosition="0">
        <references count="1">
          <reference field="6" count="1">
            <x v="1"/>
          </reference>
        </references>
      </pivotArea>
    </format>
    <format dxfId="232">
      <pivotArea dataOnly="0" labelOnly="1" fieldPosition="0">
        <references count="1">
          <reference field="6" count="1">
            <x v="0"/>
          </reference>
        </references>
      </pivotArea>
    </format>
    <format dxfId="231">
      <pivotArea outline="0" collapsedLevelsAreSubtotals="1" fieldPosition="0">
        <references count="1">
          <reference field="6" count="1" selected="0">
            <x v="0"/>
          </reference>
        </references>
      </pivotArea>
    </format>
    <format dxfId="230">
      <pivotArea dataOnly="0" labelOnly="1" fieldPosition="0">
        <references count="1">
          <reference field="6" count="1">
            <x v="0"/>
          </reference>
        </references>
      </pivotArea>
    </format>
    <format dxfId="229">
      <pivotArea outline="0" collapsedLevelsAreSubtotals="1" fieldPosition="0">
        <references count="1">
          <reference field="6" count="1" selected="0">
            <x v="1"/>
          </reference>
        </references>
      </pivotArea>
    </format>
    <format dxfId="228">
      <pivotArea dataOnly="0" labelOnly="1" fieldPosition="0">
        <references count="1">
          <reference field="6" count="1">
            <x v="1"/>
          </reference>
        </references>
      </pivotArea>
    </format>
    <format dxfId="227">
      <pivotArea field="6" type="button" dataOnly="0" labelOnly="1" outline="0" axis="axisCol" fieldPosition="0"/>
    </format>
    <format dxfId="226">
      <pivotArea dataOnly="0" labelOnly="1" fieldPosition="0">
        <references count="1">
          <reference field="6" count="1">
            <x v="2"/>
          </reference>
        </references>
      </pivotArea>
    </format>
    <format dxfId="225">
      <pivotArea dataOnly="0" labelOnly="1" fieldPosition="0">
        <references count="1">
          <reference field="6" count="1">
            <x v="2"/>
          </reference>
        </references>
      </pivotArea>
    </format>
    <format dxfId="224">
      <pivotArea collapsedLevelsAreSubtotals="1" fieldPosition="0">
        <references count="2">
          <reference field="6" count="1" selected="0">
            <x v="2"/>
          </reference>
          <reference field="10" count="0"/>
        </references>
      </pivotArea>
    </format>
    <format dxfId="223">
      <pivotArea field="6" grandRow="1" outline="0" collapsedLevelsAreSubtotals="1" axis="axisCol" fieldPosition="0">
        <references count="1">
          <reference field="6" count="1" selected="0">
            <x v="0"/>
          </reference>
        </references>
      </pivotArea>
    </format>
  </formats>
  <chartFormats count="3">
    <chartFormat chart="3" format="6" series="1">
      <pivotArea type="data" outline="0" fieldPosition="0">
        <references count="2">
          <reference field="4294967294" count="1" selected="0">
            <x v="0"/>
          </reference>
          <reference field="6" count="1" selected="0">
            <x v="1"/>
          </reference>
        </references>
      </pivotArea>
    </chartFormat>
    <chartFormat chart="3" format="7" series="1">
      <pivotArea type="data" outline="0" fieldPosition="0">
        <references count="2">
          <reference field="4294967294" count="1" selected="0">
            <x v="0"/>
          </reference>
          <reference field="6" count="1" selected="0">
            <x v="0"/>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1CD383-1A0B-411A-B80F-4B88468ECE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colHeaderCaption="Product Name">
  <location ref="E14:P21" firstHeaderRow="1" firstDataRow="2"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axis="axisCol" showAll="0" sortType="descending">
      <items count="11">
        <item x="1"/>
        <item x="0"/>
        <item x="6"/>
        <item x="3"/>
        <item x="7"/>
        <item x="2"/>
        <item x="8"/>
        <item x="9"/>
        <item x="5"/>
        <item x="4"/>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numFmtId="164" showAll="0"/>
    <pivotField showAll="0">
      <items count="5">
        <item x="1"/>
        <item x="2"/>
        <item x="3"/>
        <item x="0"/>
        <item t="default"/>
      </items>
    </pivotField>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Fields count="1">
    <field x="5"/>
  </colFields>
  <colItems count="11">
    <i>
      <x v="6"/>
    </i>
    <i>
      <x v="9"/>
    </i>
    <i>
      <x v="3"/>
    </i>
    <i>
      <x v="7"/>
    </i>
    <i>
      <x v="1"/>
    </i>
    <i>
      <x v="8"/>
    </i>
    <i>
      <x v="5"/>
    </i>
    <i>
      <x v="4"/>
    </i>
    <i>
      <x/>
    </i>
    <i>
      <x v="2"/>
    </i>
    <i t="grand">
      <x/>
    </i>
  </colItems>
  <dataFields count="1">
    <dataField name="Sum of Total_Amount" fld="13" baseField="0" baseItem="0"/>
  </dataFields>
  <formats count="67">
    <format dxfId="335">
      <pivotArea field="6" type="button" dataOnly="0" labelOnly="1" outline="0"/>
    </format>
    <format dxfId="334">
      <pivotArea dataOnly="0" labelOnly="1" outline="0" axis="axisValues" fieldPosition="0"/>
    </format>
    <format dxfId="333">
      <pivotArea type="all" dataOnly="0" outline="0" fieldPosition="0"/>
    </format>
    <format dxfId="332">
      <pivotArea outline="0" collapsedLevelsAreSubtotals="1" fieldPosition="0"/>
    </format>
    <format dxfId="331">
      <pivotArea field="6" type="button" dataOnly="0" labelOnly="1" outline="0"/>
    </format>
    <format dxfId="330">
      <pivotArea dataOnly="0" labelOnly="1" grandRow="1" outline="0" fieldPosition="0"/>
    </format>
    <format dxfId="329">
      <pivotArea dataOnly="0" labelOnly="1" outline="0" axis="axisValues" fieldPosition="0"/>
    </format>
    <format dxfId="328">
      <pivotArea grandRow="1" outline="0" collapsedLevelsAreSubtotals="1" fieldPosition="0"/>
    </format>
    <format dxfId="327">
      <pivotArea dataOnly="0" labelOnly="1" grandRow="1" outline="0" fieldPosition="0"/>
    </format>
    <format dxfId="326">
      <pivotArea type="all" dataOnly="0" outline="0" fieldPosition="0"/>
    </format>
    <format dxfId="325">
      <pivotArea outline="0" collapsedLevelsAreSubtotals="1" fieldPosition="0"/>
    </format>
    <format dxfId="324">
      <pivotArea field="6" type="button" dataOnly="0" labelOnly="1" outline="0"/>
    </format>
    <format dxfId="323">
      <pivotArea dataOnly="0" labelOnly="1" grandRow="1" outline="0" fieldPosition="0"/>
    </format>
    <format dxfId="322">
      <pivotArea dataOnly="0" labelOnly="1" outline="0" axis="axisValues" fieldPosition="0"/>
    </format>
    <format dxfId="321">
      <pivotArea type="all" dataOnly="0" outline="0" fieldPosition="0"/>
    </format>
    <format dxfId="320">
      <pivotArea outline="0" collapsedLevelsAreSubtotals="1" fieldPosition="0"/>
    </format>
    <format dxfId="319">
      <pivotArea field="6" type="button" dataOnly="0" labelOnly="1" outline="0"/>
    </format>
    <format dxfId="318">
      <pivotArea dataOnly="0" labelOnly="1" grandRow="1" outline="0" fieldPosition="0"/>
    </format>
    <format dxfId="317">
      <pivotArea dataOnly="0" labelOnly="1" outline="0" axis="axisValues" fieldPosition="0"/>
    </format>
    <format dxfId="316">
      <pivotArea field="6" type="button" dataOnly="0" labelOnly="1" outline="0"/>
    </format>
    <format dxfId="315">
      <pivotArea dataOnly="0" labelOnly="1" grandRow="1" outline="0" fieldPosition="0"/>
    </format>
    <format dxfId="314">
      <pivotArea dataOnly="0" labelOnly="1" outline="0" axis="axisValues" fieldPosition="0"/>
    </format>
    <format dxfId="313">
      <pivotArea outline="0" collapsedLevelsAreSubtotals="1" fieldPosition="0"/>
    </format>
    <format dxfId="312">
      <pivotArea field="10" type="button" dataOnly="0" labelOnly="1" outline="0" axis="axisRow" fieldPosition="0"/>
    </format>
    <format dxfId="311">
      <pivotArea dataOnly="0" labelOnly="1" outline="0" axis="axisValues" fieldPosition="0"/>
    </format>
    <format dxfId="310">
      <pivotArea dataOnly="0" labelOnly="1" outline="0" fieldPosition="0">
        <references count="1">
          <reference field="4294967294" count="1">
            <x v="0"/>
          </reference>
        </references>
      </pivotArea>
    </format>
    <format dxfId="309">
      <pivotArea field="9" type="button" dataOnly="0" labelOnly="1" outline="0"/>
    </format>
    <format dxfId="308">
      <pivotArea outline="0" collapsedLevelsAreSubtotals="1" fieldPosition="0"/>
    </format>
    <format dxfId="307">
      <pivotArea field="5" type="button" dataOnly="0" labelOnly="1" outline="0" axis="axisCol" fieldPosition="0"/>
    </format>
    <format dxfId="306">
      <pivotArea type="topRight" dataOnly="0" labelOnly="1" outline="0" fieldPosition="0"/>
    </format>
    <format dxfId="305">
      <pivotArea dataOnly="0" labelOnly="1" fieldPosition="0">
        <references count="1">
          <reference field="5" count="0"/>
        </references>
      </pivotArea>
    </format>
    <format dxfId="304">
      <pivotArea dataOnly="0" labelOnly="1" grandCol="1" outline="0" fieldPosition="0"/>
    </format>
    <format dxfId="303">
      <pivotArea type="origin" dataOnly="0" labelOnly="1" outline="0" fieldPosition="0"/>
    </format>
    <format dxfId="302">
      <pivotArea dataOnly="0" labelOnly="1" fieldPosition="0">
        <references count="1">
          <reference field="5" count="0"/>
        </references>
      </pivotArea>
    </format>
    <format dxfId="301">
      <pivotArea dataOnly="0" labelOnly="1" grandCol="1" outline="0" fieldPosition="0"/>
    </format>
    <format dxfId="300">
      <pivotArea dataOnly="0" labelOnly="1" fieldPosition="0">
        <references count="1">
          <reference field="5" count="1">
            <x v="1"/>
          </reference>
        </references>
      </pivotArea>
    </format>
    <format dxfId="299">
      <pivotArea dataOnly="0" labelOnly="1" fieldPosition="0">
        <references count="1">
          <reference field="5" count="1">
            <x v="2"/>
          </reference>
        </references>
      </pivotArea>
    </format>
    <format dxfId="298">
      <pivotArea dataOnly="0" labelOnly="1" fieldPosition="0">
        <references count="1">
          <reference field="5" count="1">
            <x v="3"/>
          </reference>
        </references>
      </pivotArea>
    </format>
    <format dxfId="297">
      <pivotArea dataOnly="0" labelOnly="1" fieldPosition="0">
        <references count="1">
          <reference field="5" count="1">
            <x v="4"/>
          </reference>
        </references>
      </pivotArea>
    </format>
    <format dxfId="296">
      <pivotArea dataOnly="0" labelOnly="1" fieldPosition="0">
        <references count="1">
          <reference field="5" count="1">
            <x v="5"/>
          </reference>
        </references>
      </pivotArea>
    </format>
    <format dxfId="295">
      <pivotArea dataOnly="0" labelOnly="1" fieldPosition="0">
        <references count="1">
          <reference field="5" count="1">
            <x v="6"/>
          </reference>
        </references>
      </pivotArea>
    </format>
    <format dxfId="294">
      <pivotArea dataOnly="0" labelOnly="1" fieldPosition="0">
        <references count="1">
          <reference field="5" count="1">
            <x v="7"/>
          </reference>
        </references>
      </pivotArea>
    </format>
    <format dxfId="293">
      <pivotArea dataOnly="0" labelOnly="1" fieldPosition="0">
        <references count="1">
          <reference field="5" count="1">
            <x v="8"/>
          </reference>
        </references>
      </pivotArea>
    </format>
    <format dxfId="292">
      <pivotArea dataOnly="0" labelOnly="1" fieldPosition="0">
        <references count="1">
          <reference field="5" count="1">
            <x v="9"/>
          </reference>
        </references>
      </pivotArea>
    </format>
    <format dxfId="291">
      <pivotArea grandCol="1" outline="0" collapsedLevelsAreSubtotals="1" fieldPosition="0"/>
    </format>
    <format dxfId="290">
      <pivotArea dataOnly="0" labelOnly="1" grandCol="1" outline="0" fieldPosition="0"/>
    </format>
    <format dxfId="289">
      <pivotArea outline="0" collapsedLevelsAreSubtotals="1" fieldPosition="0">
        <references count="1">
          <reference field="5" count="1" selected="0">
            <x v="9"/>
          </reference>
        </references>
      </pivotArea>
    </format>
    <format dxfId="288">
      <pivotArea dataOnly="0" labelOnly="1" fieldPosition="0">
        <references count="1">
          <reference field="5" count="1">
            <x v="9"/>
          </reference>
        </references>
      </pivotArea>
    </format>
    <format dxfId="287">
      <pivotArea outline="0" collapsedLevelsAreSubtotals="1" fieldPosition="0">
        <references count="1">
          <reference field="5" count="1" selected="0">
            <x v="8"/>
          </reference>
        </references>
      </pivotArea>
    </format>
    <format dxfId="286">
      <pivotArea dataOnly="0" labelOnly="1" fieldPosition="0">
        <references count="1">
          <reference field="5" count="1">
            <x v="8"/>
          </reference>
        </references>
      </pivotArea>
    </format>
    <format dxfId="285">
      <pivotArea outline="0" collapsedLevelsAreSubtotals="1" fieldPosition="0">
        <references count="1">
          <reference field="5" count="1" selected="0">
            <x v="7"/>
          </reference>
        </references>
      </pivotArea>
    </format>
    <format dxfId="284">
      <pivotArea dataOnly="0" labelOnly="1" fieldPosition="0">
        <references count="1">
          <reference field="5" count="1">
            <x v="7"/>
          </reference>
        </references>
      </pivotArea>
    </format>
    <format dxfId="283">
      <pivotArea outline="0" collapsedLevelsAreSubtotals="1" fieldPosition="0">
        <references count="1">
          <reference field="5" count="1" selected="0">
            <x v="6"/>
          </reference>
        </references>
      </pivotArea>
    </format>
    <format dxfId="282">
      <pivotArea dataOnly="0" labelOnly="1" fieldPosition="0">
        <references count="1">
          <reference field="5" count="1">
            <x v="6"/>
          </reference>
        </references>
      </pivotArea>
    </format>
    <format dxfId="281">
      <pivotArea outline="0" collapsedLevelsAreSubtotals="1" fieldPosition="0">
        <references count="1">
          <reference field="5" count="1" selected="0">
            <x v="5"/>
          </reference>
        </references>
      </pivotArea>
    </format>
    <format dxfId="280">
      <pivotArea dataOnly="0" labelOnly="1" fieldPosition="0">
        <references count="1">
          <reference field="5" count="1">
            <x v="5"/>
          </reference>
        </references>
      </pivotArea>
    </format>
    <format dxfId="279">
      <pivotArea outline="0" collapsedLevelsAreSubtotals="1" fieldPosition="0">
        <references count="1">
          <reference field="5" count="1" selected="0">
            <x v="4"/>
          </reference>
        </references>
      </pivotArea>
    </format>
    <format dxfId="278">
      <pivotArea dataOnly="0" labelOnly="1" fieldPosition="0">
        <references count="1">
          <reference field="5" count="1">
            <x v="4"/>
          </reference>
        </references>
      </pivotArea>
    </format>
    <format dxfId="277">
      <pivotArea outline="0" collapsedLevelsAreSubtotals="1" fieldPosition="0">
        <references count="1">
          <reference field="5" count="1" selected="0">
            <x v="3"/>
          </reference>
        </references>
      </pivotArea>
    </format>
    <format dxfId="276">
      <pivotArea dataOnly="0" labelOnly="1" fieldPosition="0">
        <references count="1">
          <reference field="5" count="1">
            <x v="3"/>
          </reference>
        </references>
      </pivotArea>
    </format>
    <format dxfId="275">
      <pivotArea outline="0" collapsedLevelsAreSubtotals="1" fieldPosition="0">
        <references count="1">
          <reference field="5" count="1" selected="0">
            <x v="2"/>
          </reference>
        </references>
      </pivotArea>
    </format>
    <format dxfId="274">
      <pivotArea dataOnly="0" labelOnly="1" fieldPosition="0">
        <references count="1">
          <reference field="5" count="1">
            <x v="2"/>
          </reference>
        </references>
      </pivotArea>
    </format>
    <format dxfId="273">
      <pivotArea collapsedLevelsAreSubtotals="1" fieldPosition="0">
        <references count="2">
          <reference field="5" count="1" selected="0">
            <x v="1"/>
          </reference>
          <reference field="10" count="0"/>
        </references>
      </pivotArea>
    </format>
    <format dxfId="272">
      <pivotArea outline="0" collapsedLevelsAreSubtotals="1" fieldPosition="0">
        <references count="1">
          <reference field="5" count="1" selected="0">
            <x v="1"/>
          </reference>
        </references>
      </pivotArea>
    </format>
    <format dxfId="271">
      <pivotArea dataOnly="0" labelOnly="1" fieldPosition="0">
        <references count="1">
          <reference field="5" count="1">
            <x v="1"/>
          </reference>
        </references>
      </pivotArea>
    </format>
    <format dxfId="270">
      <pivotArea field="5" type="button" dataOnly="0" labelOnly="1" outline="0" axis="axisCol" fieldPosition="0"/>
    </format>
    <format dxfId="269">
      <pivotArea outline="0" collapsedLevelsAreSubtotals="1" fieldPosition="0">
        <references count="1">
          <reference field="5"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CADD54-AB6A-4494-B11E-762720C1B35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ayment Method">
  <location ref="H25:J30" firstHeaderRow="0"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showAll="0">
      <items count="4">
        <item x="1"/>
        <item x="2"/>
        <item x="0"/>
        <item t="default"/>
      </items>
    </pivotField>
    <pivotField dataField="1" showAll="0"/>
    <pivotField numFmtId="164" showAll="0"/>
    <pivotField axis="axisRow" showAll="0">
      <items count="5">
        <item x="1"/>
        <item x="2"/>
        <item x="3"/>
        <item x="0"/>
        <item t="default"/>
      </items>
    </pivotField>
    <pivotField showAll="0">
      <items count="6">
        <item x="1"/>
        <item x="2"/>
        <item x="4"/>
        <item x="3"/>
        <item x="0"/>
        <item t="default"/>
      </items>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Sales" fld="13" baseField="9" baseItem="0"/>
    <dataField name="Quantity " fld="7" baseField="9" baseItem="0"/>
  </dataFields>
  <formats count="32">
    <format dxfId="367">
      <pivotArea field="6" type="button" dataOnly="0" labelOnly="1" outline="0"/>
    </format>
    <format dxfId="366">
      <pivotArea dataOnly="0" labelOnly="1" outline="0" axis="axisValues" fieldPosition="0"/>
    </format>
    <format dxfId="365">
      <pivotArea type="all" dataOnly="0" outline="0" fieldPosition="0"/>
    </format>
    <format dxfId="364">
      <pivotArea outline="0" collapsedLevelsAreSubtotals="1" fieldPosition="0"/>
    </format>
    <format dxfId="363">
      <pivotArea field="6" type="button" dataOnly="0" labelOnly="1" outline="0"/>
    </format>
    <format dxfId="362">
      <pivotArea dataOnly="0" labelOnly="1" grandRow="1" outline="0"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 dxfId="358">
      <pivotArea type="all" dataOnly="0" outline="0" fieldPosition="0"/>
    </format>
    <format dxfId="357">
      <pivotArea outline="0" collapsedLevelsAreSubtotals="1" fieldPosition="0"/>
    </format>
    <format dxfId="356">
      <pivotArea field="6" type="button" dataOnly="0" labelOnly="1" outline="0"/>
    </format>
    <format dxfId="355">
      <pivotArea dataOnly="0" labelOnly="1" grandRow="1" outline="0" fieldPosition="0"/>
    </format>
    <format dxfId="354">
      <pivotArea dataOnly="0" labelOnly="1" outline="0" axis="axisValues" fieldPosition="0"/>
    </format>
    <format dxfId="353">
      <pivotArea type="all" dataOnly="0" outline="0" fieldPosition="0"/>
    </format>
    <format dxfId="352">
      <pivotArea outline="0" collapsedLevelsAreSubtotals="1" fieldPosition="0"/>
    </format>
    <format dxfId="351">
      <pivotArea field="6" type="button" dataOnly="0" labelOnly="1" outline="0"/>
    </format>
    <format dxfId="350">
      <pivotArea dataOnly="0" labelOnly="1" grandRow="1" outline="0" fieldPosition="0"/>
    </format>
    <format dxfId="349">
      <pivotArea dataOnly="0" labelOnly="1" outline="0" axis="axisValues" fieldPosition="0"/>
    </format>
    <format dxfId="348">
      <pivotArea field="6" type="button" dataOnly="0" labelOnly="1" outline="0"/>
    </format>
    <format dxfId="347">
      <pivotArea dataOnly="0" labelOnly="1" grandRow="1" outline="0" fieldPosition="0"/>
    </format>
    <format dxfId="346">
      <pivotArea dataOnly="0" labelOnly="1" outline="0" axis="axisValues" fieldPosition="0"/>
    </format>
    <format dxfId="345">
      <pivotArea outline="0" collapsedLevelsAreSubtotals="1" fieldPosition="0"/>
    </format>
    <format dxfId="344">
      <pivotArea field="10" type="button" dataOnly="0" labelOnly="1" outline="0"/>
    </format>
    <format dxfId="343">
      <pivotArea dataOnly="0" labelOnly="1" outline="0" axis="axisValues" fieldPosition="0"/>
    </format>
    <format dxfId="342">
      <pivotArea outline="0" collapsedLevelsAreSubtotals="1" fieldPosition="0">
        <references count="1">
          <reference field="4294967294" count="1" selected="0">
            <x v="1"/>
          </reference>
        </references>
      </pivotArea>
    </format>
    <format dxfId="341">
      <pivotArea dataOnly="0" labelOnly="1" outline="0" fieldPosition="0">
        <references count="1">
          <reference field="4294967294" count="1">
            <x v="0"/>
          </reference>
        </references>
      </pivotArea>
    </format>
    <format dxfId="340">
      <pivotArea dataOnly="0" labelOnly="1" outline="0" fieldPosition="0">
        <references count="1">
          <reference field="4294967294" count="1">
            <x v="1"/>
          </reference>
        </references>
      </pivotArea>
    </format>
    <format dxfId="339">
      <pivotArea collapsedLevelsAreSubtotals="1" fieldPosition="0">
        <references count="2">
          <reference field="4294967294" count="1" selected="0">
            <x v="1"/>
          </reference>
          <reference field="9" count="0"/>
        </references>
      </pivotArea>
    </format>
    <format dxfId="338">
      <pivotArea field="9" grandRow="1" outline="0" collapsedLevelsAreSubtotals="1" axis="axisRow" fieldPosition="0">
        <references count="1">
          <reference field="4294967294" count="1" selected="0">
            <x v="1"/>
          </reference>
        </references>
      </pivotArea>
    </format>
    <format dxfId="337">
      <pivotArea field="9" type="button" dataOnly="0" labelOnly="1" outline="0" axis="axisRow" fieldPosition="0"/>
    </format>
    <format dxfId="336">
      <pivotArea field="9"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B4081B-5558-42D8-A7DB-D178AE281345}" sourceName="Category">
  <pivotTables>
    <pivotTable tabId="2" name="PivotTable6"/>
  </pivotTables>
  <data>
    <tabular pivotCacheId="133060693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C4EF188-21C3-4CA7-BB47-79B57378FA15}" sourceName="Region">
  <pivotTables>
    <pivotTable tabId="2" name="PivotTable2"/>
  </pivotTables>
  <data>
    <tabular pivotCacheId="1330606931">
      <items count="5">
        <i x="1" s="1"/>
        <i x="2" s="1"/>
        <i x="4"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1053BEB1-04D3-43C1-928D-9EC80FD62B5B}" sourceName="Product_Name">
  <pivotTables>
    <pivotTable tabId="2" name="PivotTable10"/>
  </pivotTables>
  <data>
    <tabular pivotCacheId="1330606931">
      <items count="10">
        <i x="1" s="1"/>
        <i x="0" s="1"/>
        <i x="6" s="1"/>
        <i x="3" s="1"/>
        <i x="7" s="1"/>
        <i x="2" s="1"/>
        <i x="8" s="1"/>
        <i x="9"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E379C86-02DB-4B2E-A6C2-A89FDD00D058}" cache="Slicer_Category" caption="Category" startItem="1" style="Slicer Style 1" rowHeight="247650"/>
  <slicer name="Region" xr10:uid="{931CD326-9890-44C0-A545-E1D7A6EB9E9B}" cache="Slicer_Region" caption="Region" columnCount="3" style="Slicer Style 1" rowHeight="247650"/>
  <slicer name="Product_Name" xr10:uid="{521799ED-78E1-4E81-A375-90DF8A75FE36}" cache="Slicer_Product_Name" caption="Product_Name" columnCount="5"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6277BF-CF60-4020-B988-485377135ACF}" name="Table2" displayName="Table2" ref="A3:B10" headerRowCount="0" totalsRowShown="0" tableBorderDxfId="40">
  <tableColumns count="2">
    <tableColumn id="1" xr3:uid="{FAA81FE1-23F8-49F9-89D3-0210F79BC405}" name="Column1" headerRowDxfId="39" dataDxfId="38"/>
    <tableColumn id="2" xr3:uid="{3EDE23B6-8C34-4769-88F3-1BA09BA8B084}" name="Column2" headerRowDxfId="37"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2CDEAC-5C44-4150-9724-C7082CACA4FE}" name="data" displayName="data" ref="A1:Q251" headerRowDxfId="35" dataDxfId="33" headerRowBorderDxfId="34" tableBorderDxfId="32" totalsRowBorderDxfId="31">
  <autoFilter ref="A1:Q251" xr:uid="{DE2CDEAC-5C44-4150-9724-C7082CACA4FE}"/>
  <sortState xmlns:xlrd2="http://schemas.microsoft.com/office/spreadsheetml/2017/richdata2" ref="A2:Q251">
    <sortCondition ref="A1:A251"/>
  </sortState>
  <tableColumns count="17">
    <tableColumn id="1" xr3:uid="{6C652B46-FD86-4516-BDEB-ED6A8058A591}" name="Transaction_ID" totalsRowLabel="Total" dataDxfId="30" totalsRowDxfId="29"/>
    <tableColumn id="2" xr3:uid="{7A86DF40-4EBE-47B4-874F-767F3D873AF5}" name="Date" dataDxfId="28" totalsRowDxfId="27"/>
    <tableColumn id="3" xr3:uid="{6DBA84A4-5A21-4902-976B-324F74A55E1F}" name="Customer_ID" dataDxfId="26" totalsRowDxfId="25"/>
    <tableColumn id="4" xr3:uid="{54C4FAF4-21A7-4227-80A8-F2876C4DDA0B}" name="Customer_Name" dataDxfId="24" totalsRowDxfId="23"/>
    <tableColumn id="5" xr3:uid="{8BD1FB42-BC64-4F74-8EF5-7023C483E068}" name="Product_ID" dataDxfId="22" totalsRowDxfId="21"/>
    <tableColumn id="6" xr3:uid="{0753DAF6-B1AE-4D6A-B172-C0CA0AE0055F}" name="Product_Name" dataDxfId="20" totalsRowDxfId="19"/>
    <tableColumn id="7" xr3:uid="{0E0C1D7D-A1DC-4ED0-AA7C-E8AB9178A17E}" name="Category" dataDxfId="18" totalsRowDxfId="17"/>
    <tableColumn id="8" xr3:uid="{4836FF8A-D333-49A3-9CD6-C328C15655F3}" name="Quantity" dataDxfId="16" totalsRowDxfId="15"/>
    <tableColumn id="9" xr3:uid="{547EF331-7362-4EAE-8244-A8436702EA26}" name="Unit_Price" dataDxfId="14" totalsRowDxfId="13"/>
    <tableColumn id="10" xr3:uid="{C641757F-3124-4E46-9780-51AE68521F48}" name="Payment_Method" dataDxfId="12" totalsRowDxfId="11"/>
    <tableColumn id="11" xr3:uid="{C76B15D7-AAA7-49CA-9CBA-3CE10E3D8F5A}" name="Region" dataDxfId="10" totalsRowDxfId="9"/>
    <tableColumn id="12" xr3:uid="{14E1FCDF-B626-4B92-8DA4-BC406E1A1512}" name="Customer_Segment" dataDxfId="8" totalsRowDxfId="7"/>
    <tableColumn id="13" xr3:uid="{2E60A976-6729-4B0F-BB61-B2A6BD1CAACA}" name="Customer_Since" dataDxfId="6" totalsRowDxfId="5"/>
    <tableColumn id="14" xr3:uid="{E1CD88C6-DDC1-4F4F-8020-9B66FE7852F1}" name="Total_Amount" totalsRowFunction="sum" dataDxfId="4" totalsRowDxfId="3"/>
    <tableColumn id="15" xr3:uid="{18D51870-0AA3-4B1C-8016-2B8BA85191BE}" name="Custmore Since" dataDxfId="2">
      <calculatedColumnFormula>DATEDIF(data[[#This Row],[Customer_Since]], data[[#This Row],[Date]], "D")</calculatedColumnFormula>
    </tableColumn>
    <tableColumn id="16" xr3:uid="{01FC2893-AD3B-488D-A0DE-96F43EB0DF90}" name="Month" dataDxfId="1">
      <calculatedColumnFormula>TEXT(data[[#This Row],[Date]], "mmm")</calculatedColumnFormula>
    </tableColumn>
    <tableColumn id="17" xr3:uid="{5CC8C0D4-0D2A-4F27-A764-68C50CED8F73}" name="Quaterly" dataDxfId="0">
      <calculatedColumnFormula>ROUNDUP(MONTH(data[[#This Row],[Date]])/3,0)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F9B708FA-0CE1-43D4-B1C6-8FF990BD7BBA}" sourceName="Date">
  <pivotTables>
    <pivotTable tabId="2" name="PivotTable3"/>
  </pivotTables>
  <state minimalRefreshVersion="6" lastRefreshVersion="6" pivotCacheId="1330606931"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AEACE859-D263-43B2-97A0-6767D35799B4}" cache="NativeTimeline_Date" caption="Date" showHorizontalScrollbar="0" level="2" selectionLevel="1" scrollPosition="2024-10-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9AA27-5B36-4550-9A43-603E90C39408}">
  <dimension ref="A1:W62"/>
  <sheetViews>
    <sheetView showGridLines="0" tabSelected="1" zoomScaleNormal="100" workbookViewId="0">
      <selection activeCell="V9" sqref="V9"/>
    </sheetView>
  </sheetViews>
  <sheetFormatPr defaultRowHeight="14.4" x14ac:dyDescent="0.3"/>
  <cols>
    <col min="1" max="7" width="8.88671875" style="100"/>
    <col min="8" max="8" width="8.88671875" style="100" customWidth="1"/>
    <col min="9" max="9" width="8.88671875" style="100"/>
    <col min="10" max="10" width="8.88671875" style="100" customWidth="1"/>
    <col min="11" max="16384" width="8.88671875" style="100"/>
  </cols>
  <sheetData>
    <row r="1" spans="1:23" ht="15" thickTop="1" x14ac:dyDescent="0.3">
      <c r="A1" s="97"/>
      <c r="B1" s="98"/>
      <c r="C1" s="98"/>
      <c r="D1" s="98"/>
      <c r="E1" s="98"/>
      <c r="F1" s="98"/>
      <c r="G1" s="98"/>
      <c r="H1" s="98"/>
      <c r="I1" s="98"/>
      <c r="J1" s="98"/>
      <c r="K1" s="98"/>
      <c r="L1" s="98"/>
      <c r="M1" s="98"/>
      <c r="N1" s="98"/>
      <c r="O1" s="98"/>
      <c r="P1" s="98"/>
      <c r="Q1" s="98"/>
      <c r="R1" s="98"/>
      <c r="S1" s="98"/>
      <c r="T1" s="98"/>
      <c r="U1" s="111"/>
      <c r="V1" s="99"/>
      <c r="W1" s="99"/>
    </row>
    <row r="2" spans="1:23" x14ac:dyDescent="0.3">
      <c r="A2" s="101"/>
      <c r="B2" s="99"/>
      <c r="C2" s="99"/>
      <c r="D2" s="99"/>
      <c r="E2" s="99"/>
      <c r="F2" s="99"/>
      <c r="G2" s="99"/>
      <c r="H2" s="99"/>
      <c r="I2" s="99"/>
      <c r="J2" s="99"/>
      <c r="K2" s="99"/>
      <c r="L2" s="99"/>
      <c r="M2" s="99"/>
      <c r="N2" s="99"/>
      <c r="O2" s="99"/>
      <c r="P2" s="99"/>
      <c r="Q2" s="99"/>
      <c r="R2" s="99"/>
      <c r="S2" s="99"/>
      <c r="T2" s="99"/>
      <c r="U2" s="107"/>
      <c r="V2" s="99"/>
      <c r="W2" s="99"/>
    </row>
    <row r="3" spans="1:23" ht="15" thickBot="1" x14ac:dyDescent="0.35">
      <c r="A3" s="102"/>
      <c r="B3" s="103"/>
      <c r="C3" s="103"/>
      <c r="D3" s="103"/>
      <c r="E3" s="103"/>
      <c r="F3" s="103"/>
      <c r="G3" s="103"/>
      <c r="H3" s="103"/>
      <c r="I3" s="103"/>
      <c r="J3" s="103"/>
      <c r="K3" s="103"/>
      <c r="L3" s="103"/>
      <c r="M3" s="103"/>
      <c r="N3" s="103"/>
      <c r="O3" s="103"/>
      <c r="P3" s="103"/>
      <c r="Q3" s="103"/>
      <c r="R3" s="103"/>
      <c r="S3" s="103"/>
      <c r="T3" s="103"/>
      <c r="U3" s="110"/>
      <c r="V3" s="99"/>
      <c r="W3" s="99"/>
    </row>
    <row r="4" spans="1:23" ht="15" thickTop="1" x14ac:dyDescent="0.3">
      <c r="A4" s="101"/>
      <c r="B4" s="99"/>
      <c r="C4" s="99"/>
      <c r="D4" s="99"/>
      <c r="E4" s="99"/>
      <c r="F4" s="99"/>
      <c r="G4" s="99"/>
      <c r="H4" s="99"/>
      <c r="I4" s="99"/>
      <c r="J4" s="99"/>
      <c r="K4" s="99"/>
      <c r="L4" s="99"/>
      <c r="M4" s="99"/>
      <c r="N4" s="99"/>
      <c r="O4" s="99"/>
      <c r="P4" s="99"/>
      <c r="Q4" s="99"/>
      <c r="R4" s="99"/>
      <c r="S4" s="99"/>
      <c r="T4" s="99"/>
      <c r="U4" s="107"/>
      <c r="V4" s="99"/>
      <c r="W4" s="99"/>
    </row>
    <row r="5" spans="1:23" x14ac:dyDescent="0.3">
      <c r="A5" s="101"/>
      <c r="B5" s="99"/>
      <c r="C5" s="99"/>
      <c r="D5" s="99"/>
      <c r="E5" s="99"/>
      <c r="F5" s="99"/>
      <c r="G5" s="99"/>
      <c r="H5" s="99"/>
      <c r="I5" s="99"/>
      <c r="J5" s="99"/>
      <c r="K5" s="99"/>
      <c r="L5" s="99"/>
      <c r="M5" s="99"/>
      <c r="N5" s="99"/>
      <c r="O5" s="99"/>
      <c r="P5" s="99"/>
      <c r="Q5" s="99"/>
      <c r="R5" s="99"/>
      <c r="S5" s="99"/>
      <c r="T5" s="99"/>
      <c r="U5" s="107"/>
      <c r="V5" s="99"/>
      <c r="W5" s="99"/>
    </row>
    <row r="6" spans="1:23" x14ac:dyDescent="0.3">
      <c r="A6" s="101"/>
      <c r="B6" s="99"/>
      <c r="C6" s="99"/>
      <c r="D6" s="99"/>
      <c r="E6" s="99"/>
      <c r="F6" s="99"/>
      <c r="G6" s="99"/>
      <c r="H6" s="99"/>
      <c r="I6" s="99"/>
      <c r="J6" s="99"/>
      <c r="K6" s="99"/>
      <c r="L6" s="99"/>
      <c r="M6" s="99"/>
      <c r="N6" s="99"/>
      <c r="O6" s="99"/>
      <c r="P6" s="99"/>
      <c r="Q6" s="99"/>
      <c r="R6" s="99"/>
      <c r="S6" s="99"/>
      <c r="T6" s="99"/>
      <c r="U6" s="107"/>
      <c r="V6" s="99"/>
      <c r="W6" s="99"/>
    </row>
    <row r="7" spans="1:23" x14ac:dyDescent="0.3">
      <c r="A7" s="101"/>
      <c r="B7" s="99"/>
      <c r="C7" s="99"/>
      <c r="D7" s="99"/>
      <c r="E7" s="99"/>
      <c r="F7" s="99"/>
      <c r="G7" s="99"/>
      <c r="H7" s="99"/>
      <c r="I7" s="99"/>
      <c r="J7" s="99"/>
      <c r="K7" s="99"/>
      <c r="L7" s="99"/>
      <c r="M7" s="99"/>
      <c r="N7" s="99"/>
      <c r="O7" s="99"/>
      <c r="P7" s="99"/>
      <c r="Q7" s="99"/>
      <c r="R7" s="99"/>
      <c r="S7" s="99"/>
      <c r="T7" s="99"/>
      <c r="U7" s="107"/>
      <c r="V7" s="99"/>
      <c r="W7" s="99"/>
    </row>
    <row r="8" spans="1:23" ht="15" thickBot="1" x14ac:dyDescent="0.35">
      <c r="A8" s="102"/>
      <c r="B8" s="103"/>
      <c r="C8" s="103"/>
      <c r="D8" s="103"/>
      <c r="E8" s="103"/>
      <c r="F8" s="103"/>
      <c r="G8" s="103"/>
      <c r="H8" s="103"/>
      <c r="I8" s="103"/>
      <c r="J8" s="103"/>
      <c r="K8" s="103"/>
      <c r="L8" s="103"/>
      <c r="M8" s="103"/>
      <c r="N8" s="103"/>
      <c r="O8" s="103"/>
      <c r="P8" s="103"/>
      <c r="Q8" s="103"/>
      <c r="R8" s="103"/>
      <c r="S8" s="103"/>
      <c r="T8" s="103"/>
      <c r="U8" s="110"/>
      <c r="V8" s="99"/>
      <c r="W8" s="99"/>
    </row>
    <row r="9" spans="1:23" ht="15" thickTop="1" x14ac:dyDescent="0.3">
      <c r="A9" s="101"/>
      <c r="B9" s="99"/>
      <c r="C9" s="99"/>
      <c r="D9" s="99"/>
      <c r="E9" s="99"/>
      <c r="F9" s="99"/>
      <c r="G9" s="99"/>
      <c r="H9" s="99"/>
      <c r="I9" s="99"/>
      <c r="J9" s="99"/>
      <c r="K9" s="99"/>
      <c r="L9" s="99"/>
      <c r="M9" s="99"/>
      <c r="N9" s="99"/>
      <c r="O9" s="99"/>
      <c r="P9" s="99"/>
      <c r="Q9" s="99"/>
      <c r="R9" s="99"/>
      <c r="S9" s="99"/>
      <c r="T9" s="99"/>
      <c r="U9" s="107"/>
      <c r="V9" s="99"/>
      <c r="W9" s="99"/>
    </row>
    <row r="10" spans="1:23" x14ac:dyDescent="0.3">
      <c r="A10" s="101"/>
      <c r="B10" s="99"/>
      <c r="C10" s="99"/>
      <c r="D10" s="99"/>
      <c r="E10" s="99"/>
      <c r="F10" s="99"/>
      <c r="G10" s="99"/>
      <c r="H10" s="99"/>
      <c r="I10" s="99"/>
      <c r="J10" s="99"/>
      <c r="K10" s="99"/>
      <c r="L10" s="99"/>
      <c r="M10" s="99"/>
      <c r="N10" s="99"/>
      <c r="O10" s="99"/>
      <c r="P10" s="99"/>
      <c r="Q10" s="99"/>
      <c r="R10" s="99"/>
      <c r="S10" s="99"/>
      <c r="T10" s="99"/>
      <c r="U10" s="107"/>
      <c r="V10" s="99"/>
      <c r="W10" s="99"/>
    </row>
    <row r="11" spans="1:23" x14ac:dyDescent="0.3">
      <c r="A11" s="101"/>
      <c r="B11" s="99"/>
      <c r="C11" s="99"/>
      <c r="D11" s="99"/>
      <c r="E11" s="99"/>
      <c r="F11" s="99"/>
      <c r="G11" s="99"/>
      <c r="H11" s="99"/>
      <c r="I11" s="99"/>
      <c r="J11" s="99"/>
      <c r="K11" s="99"/>
      <c r="L11" s="99"/>
      <c r="M11" s="99"/>
      <c r="N11" s="99"/>
      <c r="O11" s="99"/>
      <c r="P11" s="99"/>
      <c r="Q11" s="99"/>
      <c r="R11" s="99"/>
      <c r="S11" s="99"/>
      <c r="T11" s="99"/>
      <c r="U11" s="107"/>
      <c r="V11" s="99"/>
      <c r="W11" s="99"/>
    </row>
    <row r="12" spans="1:23" x14ac:dyDescent="0.3">
      <c r="A12" s="101"/>
      <c r="B12" s="99"/>
      <c r="C12" s="99"/>
      <c r="D12" s="99"/>
      <c r="E12" s="99"/>
      <c r="F12" s="99"/>
      <c r="G12" s="99"/>
      <c r="H12" s="99"/>
      <c r="I12" s="99"/>
      <c r="J12" s="99"/>
      <c r="K12" s="99"/>
      <c r="L12" s="99"/>
      <c r="M12" s="99"/>
      <c r="N12" s="99"/>
      <c r="O12" s="99"/>
      <c r="P12" s="99"/>
      <c r="Q12" s="99"/>
      <c r="R12" s="99"/>
      <c r="S12" s="99"/>
      <c r="T12" s="99"/>
      <c r="U12" s="107"/>
      <c r="V12" s="99"/>
      <c r="W12" s="99"/>
    </row>
    <row r="13" spans="1:23" x14ac:dyDescent="0.3">
      <c r="A13" s="101"/>
      <c r="B13" s="99"/>
      <c r="C13" s="99"/>
      <c r="D13" s="99"/>
      <c r="E13" s="99"/>
      <c r="F13" s="99"/>
      <c r="G13" s="99"/>
      <c r="H13" s="99"/>
      <c r="I13" s="99"/>
      <c r="J13" s="99"/>
      <c r="K13" s="99"/>
      <c r="L13" s="99"/>
      <c r="M13" s="99"/>
      <c r="N13" s="99"/>
      <c r="O13" s="99"/>
      <c r="P13" s="99"/>
      <c r="Q13" s="99"/>
      <c r="R13" s="99"/>
      <c r="S13" s="99"/>
      <c r="T13" s="99"/>
      <c r="U13" s="107"/>
      <c r="V13" s="99"/>
      <c r="W13" s="99"/>
    </row>
    <row r="14" spans="1:23" x14ac:dyDescent="0.3">
      <c r="A14" s="101"/>
      <c r="B14" s="99"/>
      <c r="C14" s="99"/>
      <c r="D14" s="99"/>
      <c r="E14" s="99"/>
      <c r="F14" s="99"/>
      <c r="G14" s="99"/>
      <c r="H14" s="99"/>
      <c r="I14" s="99"/>
      <c r="J14" s="99"/>
      <c r="K14" s="99"/>
      <c r="L14" s="99"/>
      <c r="M14" s="99"/>
      <c r="N14" s="99"/>
      <c r="O14" s="99"/>
      <c r="P14" s="99"/>
      <c r="Q14" s="99"/>
      <c r="R14" s="99"/>
      <c r="S14" s="99"/>
      <c r="T14" s="99"/>
      <c r="U14" s="107"/>
      <c r="V14" s="99"/>
      <c r="W14" s="99"/>
    </row>
    <row r="15" spans="1:23" ht="15" thickBot="1" x14ac:dyDescent="0.35">
      <c r="A15" s="104"/>
      <c r="B15" s="105"/>
      <c r="C15" s="105"/>
      <c r="D15" s="105"/>
      <c r="E15" s="105"/>
      <c r="F15" s="105"/>
      <c r="G15" s="105"/>
      <c r="H15" s="105"/>
      <c r="I15" s="105"/>
      <c r="J15" s="105"/>
      <c r="K15" s="105"/>
      <c r="L15" s="105"/>
      <c r="M15" s="105"/>
      <c r="N15" s="105"/>
      <c r="O15" s="105"/>
      <c r="P15" s="105"/>
      <c r="Q15" s="105"/>
      <c r="R15" s="105"/>
      <c r="S15" s="105"/>
      <c r="T15" s="103"/>
      <c r="U15" s="110"/>
      <c r="V15" s="99"/>
      <c r="W15" s="99"/>
    </row>
    <row r="16" spans="1:23" ht="15" thickTop="1" x14ac:dyDescent="0.3">
      <c r="A16" s="101"/>
      <c r="B16" s="99"/>
      <c r="C16" s="99"/>
      <c r="D16" s="99"/>
      <c r="E16" s="99"/>
      <c r="F16" s="99"/>
      <c r="G16" s="99"/>
      <c r="H16" s="109"/>
      <c r="I16" s="99"/>
      <c r="J16" s="109"/>
      <c r="K16" s="99"/>
      <c r="L16" s="99"/>
      <c r="M16" s="99"/>
      <c r="N16" s="99"/>
      <c r="O16" s="99"/>
      <c r="P16" s="109"/>
      <c r="Q16" s="99"/>
      <c r="R16" s="99"/>
      <c r="S16" s="109"/>
      <c r="T16" s="99"/>
      <c r="U16" s="107"/>
      <c r="V16" s="99"/>
      <c r="W16" s="99"/>
    </row>
    <row r="17" spans="1:23" x14ac:dyDescent="0.3">
      <c r="A17" s="101"/>
      <c r="B17" s="99"/>
      <c r="C17" s="99"/>
      <c r="D17" s="99"/>
      <c r="E17" s="99"/>
      <c r="F17" s="99"/>
      <c r="G17" s="99"/>
      <c r="H17" s="99"/>
      <c r="I17" s="99"/>
      <c r="J17" s="99"/>
      <c r="K17" s="99"/>
      <c r="L17" s="99"/>
      <c r="M17" s="99"/>
      <c r="N17" s="99"/>
      <c r="O17" s="99"/>
      <c r="P17" s="99"/>
      <c r="Q17" s="99"/>
      <c r="R17" s="99"/>
      <c r="S17" s="99"/>
      <c r="T17" s="99"/>
      <c r="U17" s="107"/>
      <c r="V17" s="99"/>
      <c r="W17" s="99"/>
    </row>
    <row r="18" spans="1:23" x14ac:dyDescent="0.3">
      <c r="A18" s="101"/>
      <c r="B18" s="99"/>
      <c r="C18" s="99"/>
      <c r="D18" s="99"/>
      <c r="E18" s="99"/>
      <c r="F18" s="99"/>
      <c r="G18" s="99"/>
      <c r="H18" s="99"/>
      <c r="I18" s="99"/>
      <c r="J18" s="99"/>
      <c r="K18" s="99"/>
      <c r="L18" s="99"/>
      <c r="M18" s="99"/>
      <c r="N18" s="99"/>
      <c r="O18" s="99"/>
      <c r="P18" s="99"/>
      <c r="Q18" s="99"/>
      <c r="R18" s="99"/>
      <c r="S18" s="99"/>
      <c r="T18" s="99"/>
      <c r="U18" s="107"/>
      <c r="V18" s="99"/>
      <c r="W18" s="99"/>
    </row>
    <row r="19" spans="1:23" x14ac:dyDescent="0.3">
      <c r="A19" s="101"/>
      <c r="B19" s="99"/>
      <c r="C19" s="99"/>
      <c r="D19" s="99"/>
      <c r="E19" s="99"/>
      <c r="F19" s="99"/>
      <c r="G19" s="99"/>
      <c r="H19" s="99"/>
      <c r="I19" s="99"/>
      <c r="J19" s="99"/>
      <c r="K19" s="99"/>
      <c r="L19" s="99"/>
      <c r="M19" s="99"/>
      <c r="N19" s="99"/>
      <c r="O19" s="99"/>
      <c r="P19" s="99"/>
      <c r="Q19" s="99"/>
      <c r="R19" s="99"/>
      <c r="S19" s="99"/>
      <c r="T19" s="99"/>
      <c r="U19" s="107"/>
      <c r="V19" s="99"/>
      <c r="W19" s="99"/>
    </row>
    <row r="20" spans="1:23" x14ac:dyDescent="0.3">
      <c r="A20" s="101"/>
      <c r="B20" s="99"/>
      <c r="C20" s="99"/>
      <c r="D20" s="99"/>
      <c r="E20" s="99"/>
      <c r="F20" s="99"/>
      <c r="G20" s="99"/>
      <c r="H20" s="99"/>
      <c r="I20" s="99"/>
      <c r="J20" s="99"/>
      <c r="K20" s="99"/>
      <c r="L20" s="99"/>
      <c r="M20" s="99"/>
      <c r="N20" s="99"/>
      <c r="O20" s="99"/>
      <c r="P20" s="99"/>
      <c r="Q20" s="99"/>
      <c r="R20" s="99"/>
      <c r="S20" s="99"/>
      <c r="T20" s="99"/>
      <c r="U20" s="107"/>
      <c r="V20" s="99"/>
      <c r="W20" s="99"/>
    </row>
    <row r="21" spans="1:23" x14ac:dyDescent="0.3">
      <c r="A21" s="101"/>
      <c r="B21" s="99"/>
      <c r="C21" s="99"/>
      <c r="D21" s="99"/>
      <c r="E21" s="99"/>
      <c r="F21" s="99"/>
      <c r="G21" s="99"/>
      <c r="H21" s="99"/>
      <c r="I21" s="99"/>
      <c r="J21" s="99"/>
      <c r="K21" s="99"/>
      <c r="L21" s="99"/>
      <c r="M21" s="99"/>
      <c r="N21" s="99"/>
      <c r="O21" s="99"/>
      <c r="P21" s="99"/>
      <c r="Q21" s="99"/>
      <c r="R21" s="99"/>
      <c r="S21" s="99"/>
      <c r="T21" s="99"/>
      <c r="U21" s="107"/>
      <c r="V21" s="99"/>
      <c r="W21" s="99"/>
    </row>
    <row r="22" spans="1:23" x14ac:dyDescent="0.3">
      <c r="A22" s="101"/>
      <c r="B22" s="99"/>
      <c r="C22" s="99"/>
      <c r="D22" s="99"/>
      <c r="E22" s="99"/>
      <c r="F22" s="99"/>
      <c r="G22" s="99"/>
      <c r="H22" s="99"/>
      <c r="I22" s="99"/>
      <c r="J22" s="99"/>
      <c r="K22" s="99"/>
      <c r="L22" s="99"/>
      <c r="M22" s="99"/>
      <c r="N22" s="99"/>
      <c r="O22" s="99"/>
      <c r="P22" s="99"/>
      <c r="Q22" s="99"/>
      <c r="R22" s="99"/>
      <c r="S22" s="99"/>
      <c r="T22" s="99"/>
      <c r="U22" s="107"/>
      <c r="V22" s="99"/>
      <c r="W22" s="99"/>
    </row>
    <row r="23" spans="1:23" x14ac:dyDescent="0.3">
      <c r="A23" s="101"/>
      <c r="B23" s="99"/>
      <c r="C23" s="99"/>
      <c r="D23" s="99"/>
      <c r="E23" s="99"/>
      <c r="F23" s="99"/>
      <c r="G23" s="99"/>
      <c r="H23" s="99"/>
      <c r="I23" s="99"/>
      <c r="J23" s="99"/>
      <c r="K23" s="99"/>
      <c r="L23" s="99"/>
      <c r="M23" s="99"/>
      <c r="N23" s="99"/>
      <c r="O23" s="99"/>
      <c r="P23" s="99"/>
      <c r="Q23" s="99"/>
      <c r="R23" s="99"/>
      <c r="S23" s="99"/>
      <c r="T23" s="99"/>
      <c r="U23" s="107"/>
      <c r="V23" s="99"/>
      <c r="W23" s="99"/>
    </row>
    <row r="24" spans="1:23" x14ac:dyDescent="0.3">
      <c r="A24" s="101"/>
      <c r="B24" s="99"/>
      <c r="C24" s="99"/>
      <c r="D24" s="99"/>
      <c r="E24" s="99"/>
      <c r="F24" s="99"/>
      <c r="G24" s="99"/>
      <c r="H24" s="99"/>
      <c r="I24" s="99"/>
      <c r="J24" s="99"/>
      <c r="K24" s="99"/>
      <c r="L24" s="99"/>
      <c r="M24" s="99"/>
      <c r="N24" s="99"/>
      <c r="O24" s="99"/>
      <c r="P24" s="99"/>
      <c r="Q24" s="99"/>
      <c r="R24" s="99"/>
      <c r="S24" s="99"/>
      <c r="T24" s="99"/>
      <c r="U24" s="107"/>
      <c r="V24" s="99"/>
      <c r="W24" s="99"/>
    </row>
    <row r="25" spans="1:23" x14ac:dyDescent="0.3">
      <c r="A25" s="101"/>
      <c r="B25" s="99"/>
      <c r="C25" s="99"/>
      <c r="D25" s="99"/>
      <c r="E25" s="99"/>
      <c r="F25" s="99"/>
      <c r="G25" s="99"/>
      <c r="H25" s="99"/>
      <c r="I25" s="99"/>
      <c r="J25" s="99"/>
      <c r="K25" s="99"/>
      <c r="L25" s="99"/>
      <c r="M25" s="99"/>
      <c r="N25" s="99"/>
      <c r="O25" s="99"/>
      <c r="P25" s="99"/>
      <c r="Q25" s="99"/>
      <c r="R25" s="99"/>
      <c r="S25" s="99"/>
      <c r="T25" s="99"/>
      <c r="U25" s="107"/>
      <c r="V25" s="99"/>
      <c r="W25" s="99"/>
    </row>
    <row r="26" spans="1:23" x14ac:dyDescent="0.3">
      <c r="A26" s="101"/>
      <c r="B26" s="99"/>
      <c r="C26" s="99"/>
      <c r="D26" s="99"/>
      <c r="E26" s="99"/>
      <c r="F26" s="99"/>
      <c r="G26" s="99"/>
      <c r="H26" s="99"/>
      <c r="I26" s="99"/>
      <c r="J26" s="99"/>
      <c r="K26" s="99"/>
      <c r="L26" s="99"/>
      <c r="M26" s="99"/>
      <c r="N26" s="99"/>
      <c r="O26" s="99"/>
      <c r="P26" s="99"/>
      <c r="Q26" s="99"/>
      <c r="R26" s="99"/>
      <c r="S26" s="99"/>
      <c r="T26" s="99"/>
      <c r="U26" s="107"/>
      <c r="V26" s="99"/>
      <c r="W26" s="99"/>
    </row>
    <row r="27" spans="1:23" x14ac:dyDescent="0.3">
      <c r="A27" s="101"/>
      <c r="B27" s="99"/>
      <c r="C27" s="99"/>
      <c r="D27" s="99"/>
      <c r="E27" s="99"/>
      <c r="F27" s="99"/>
      <c r="G27" s="99"/>
      <c r="H27" s="99"/>
      <c r="I27" s="99"/>
      <c r="J27" s="99"/>
      <c r="K27" s="99"/>
      <c r="L27" s="99"/>
      <c r="M27" s="99"/>
      <c r="N27" s="99"/>
      <c r="O27" s="99"/>
      <c r="P27" s="99"/>
      <c r="Q27" s="99"/>
      <c r="R27" s="99"/>
      <c r="S27" s="99"/>
      <c r="T27" s="99"/>
      <c r="U27" s="107"/>
      <c r="V27" s="99"/>
      <c r="W27" s="99"/>
    </row>
    <row r="28" spans="1:23" x14ac:dyDescent="0.3">
      <c r="A28" s="101"/>
      <c r="B28" s="99"/>
      <c r="C28" s="99"/>
      <c r="D28" s="99"/>
      <c r="E28" s="99"/>
      <c r="F28" s="99"/>
      <c r="G28" s="99"/>
      <c r="H28" s="99"/>
      <c r="I28" s="99"/>
      <c r="J28" s="99"/>
      <c r="K28" s="99"/>
      <c r="L28" s="99"/>
      <c r="M28" s="99"/>
      <c r="N28" s="99"/>
      <c r="O28" s="99"/>
      <c r="P28" s="99"/>
      <c r="Q28" s="99"/>
      <c r="R28" s="99"/>
      <c r="S28" s="99"/>
      <c r="T28" s="99"/>
      <c r="U28" s="107"/>
      <c r="V28" s="99"/>
      <c r="W28" s="99"/>
    </row>
    <row r="29" spans="1:23" x14ac:dyDescent="0.3">
      <c r="A29" s="101"/>
      <c r="B29" s="99"/>
      <c r="C29" s="99"/>
      <c r="D29" s="99"/>
      <c r="E29" s="99"/>
      <c r="F29" s="99"/>
      <c r="G29" s="99"/>
      <c r="H29" s="99"/>
      <c r="I29" s="99"/>
      <c r="J29" s="99"/>
      <c r="K29" s="99"/>
      <c r="L29" s="99"/>
      <c r="M29" s="99"/>
      <c r="N29" s="99"/>
      <c r="O29" s="99"/>
      <c r="P29" s="99"/>
      <c r="Q29" s="99"/>
      <c r="R29" s="99"/>
      <c r="S29" s="99"/>
      <c r="T29" s="99"/>
      <c r="U29" s="107"/>
      <c r="V29" s="99"/>
      <c r="W29" s="99"/>
    </row>
    <row r="30" spans="1:23" x14ac:dyDescent="0.3">
      <c r="A30" s="101"/>
      <c r="B30" s="99"/>
      <c r="C30" s="99"/>
      <c r="D30" s="99"/>
      <c r="E30" s="99"/>
      <c r="F30" s="99"/>
      <c r="G30" s="99"/>
      <c r="H30" s="99"/>
      <c r="I30" s="99"/>
      <c r="J30" s="99"/>
      <c r="K30" s="99"/>
      <c r="L30" s="99"/>
      <c r="M30" s="99"/>
      <c r="N30" s="99"/>
      <c r="O30" s="99"/>
      <c r="P30" s="99"/>
      <c r="Q30" s="99"/>
      <c r="R30" s="99"/>
      <c r="S30" s="99"/>
      <c r="T30" s="99"/>
      <c r="U30" s="107"/>
      <c r="V30" s="99"/>
      <c r="W30" s="99"/>
    </row>
    <row r="31" spans="1:23" x14ac:dyDescent="0.3">
      <c r="A31" s="101"/>
      <c r="B31" s="99"/>
      <c r="C31" s="99"/>
      <c r="D31" s="99"/>
      <c r="E31" s="99"/>
      <c r="F31" s="99"/>
      <c r="G31" s="99"/>
      <c r="H31" s="99"/>
      <c r="I31" s="99"/>
      <c r="J31" s="99"/>
      <c r="K31" s="99"/>
      <c r="L31" s="99"/>
      <c r="M31" s="99"/>
      <c r="N31" s="99"/>
      <c r="O31" s="99"/>
      <c r="P31" s="99"/>
      <c r="Q31" s="99"/>
      <c r="R31" s="99"/>
      <c r="S31" s="99"/>
      <c r="T31" s="99"/>
      <c r="U31" s="107"/>
      <c r="V31" s="99"/>
      <c r="W31" s="99"/>
    </row>
    <row r="32" spans="1:23" x14ac:dyDescent="0.3">
      <c r="A32" s="101"/>
      <c r="B32" s="99"/>
      <c r="C32" s="99"/>
      <c r="D32" s="99"/>
      <c r="E32" s="99"/>
      <c r="F32" s="99"/>
      <c r="G32" s="99"/>
      <c r="H32" s="99"/>
      <c r="I32" s="99"/>
      <c r="J32" s="99"/>
      <c r="K32" s="99"/>
      <c r="L32" s="99"/>
      <c r="M32" s="99"/>
      <c r="N32" s="99"/>
      <c r="O32" s="99"/>
      <c r="P32" s="99"/>
      <c r="Q32" s="99"/>
      <c r="R32" s="99"/>
      <c r="S32" s="99"/>
      <c r="T32" s="99"/>
      <c r="U32" s="107"/>
      <c r="V32" s="99"/>
      <c r="W32" s="99"/>
    </row>
    <row r="33" spans="1:23" x14ac:dyDescent="0.3">
      <c r="A33" s="101"/>
      <c r="B33" s="99"/>
      <c r="C33" s="99"/>
      <c r="D33" s="99"/>
      <c r="E33" s="99"/>
      <c r="F33" s="99"/>
      <c r="G33" s="99"/>
      <c r="H33" s="99"/>
      <c r="I33" s="99"/>
      <c r="J33" s="99"/>
      <c r="K33" s="99"/>
      <c r="L33" s="99"/>
      <c r="M33" s="99"/>
      <c r="N33" s="99"/>
      <c r="O33" s="99"/>
      <c r="P33" s="99"/>
      <c r="Q33" s="99"/>
      <c r="R33" s="99"/>
      <c r="S33" s="99"/>
      <c r="T33" s="99"/>
      <c r="U33" s="107"/>
      <c r="V33" s="99"/>
      <c r="W33" s="99"/>
    </row>
    <row r="34" spans="1:23" x14ac:dyDescent="0.3">
      <c r="A34" s="101"/>
      <c r="B34" s="99"/>
      <c r="C34" s="99"/>
      <c r="D34" s="99"/>
      <c r="E34" s="99"/>
      <c r="F34" s="99"/>
      <c r="G34" s="99"/>
      <c r="H34" s="99"/>
      <c r="I34" s="99"/>
      <c r="J34" s="99"/>
      <c r="K34" s="99"/>
      <c r="L34" s="99"/>
      <c r="M34" s="99"/>
      <c r="N34" s="99"/>
      <c r="O34" s="99"/>
      <c r="P34" s="99"/>
      <c r="Q34" s="99"/>
      <c r="R34" s="99"/>
      <c r="S34" s="99"/>
      <c r="T34" s="99"/>
      <c r="U34" s="107"/>
      <c r="V34" s="99"/>
      <c r="W34" s="99"/>
    </row>
    <row r="35" spans="1:23" x14ac:dyDescent="0.3">
      <c r="A35" s="101"/>
      <c r="B35" s="99"/>
      <c r="C35" s="99"/>
      <c r="D35" s="99"/>
      <c r="E35" s="99"/>
      <c r="F35" s="99"/>
      <c r="G35" s="99"/>
      <c r="H35" s="99"/>
      <c r="I35" s="99"/>
      <c r="J35" s="99"/>
      <c r="K35" s="99"/>
      <c r="L35" s="99"/>
      <c r="M35" s="99"/>
      <c r="N35" s="99"/>
      <c r="O35" s="99"/>
      <c r="P35" s="99"/>
      <c r="Q35" s="99"/>
      <c r="R35" s="99"/>
      <c r="S35" s="99"/>
      <c r="T35" s="99"/>
      <c r="U35" s="107"/>
      <c r="V35" s="99"/>
      <c r="W35" s="99"/>
    </row>
    <row r="36" spans="1:23" ht="15" thickBot="1" x14ac:dyDescent="0.35">
      <c r="A36" s="104"/>
      <c r="B36" s="105"/>
      <c r="C36" s="105"/>
      <c r="D36" s="105"/>
      <c r="E36" s="105"/>
      <c r="F36" s="105"/>
      <c r="G36" s="105"/>
      <c r="H36" s="105"/>
      <c r="I36" s="105"/>
      <c r="J36" s="105"/>
      <c r="K36" s="105"/>
      <c r="L36" s="105"/>
      <c r="M36" s="105"/>
      <c r="N36" s="105"/>
      <c r="O36" s="105"/>
      <c r="P36" s="105"/>
      <c r="Q36" s="105"/>
      <c r="R36" s="105"/>
      <c r="S36" s="105"/>
      <c r="T36" s="103"/>
      <c r="U36" s="110"/>
      <c r="V36" s="99"/>
      <c r="W36" s="99"/>
    </row>
    <row r="37" spans="1:23" ht="15" thickTop="1" x14ac:dyDescent="0.3">
      <c r="A37" s="101"/>
      <c r="B37" s="99"/>
      <c r="C37" s="99"/>
      <c r="D37" s="99"/>
      <c r="E37" s="99"/>
      <c r="F37" s="99"/>
      <c r="G37" s="99"/>
      <c r="H37" s="99"/>
      <c r="I37" s="99"/>
      <c r="J37" s="109"/>
      <c r="K37" s="106"/>
      <c r="L37" s="99"/>
      <c r="M37" s="99"/>
      <c r="N37" s="99"/>
      <c r="O37" s="99"/>
      <c r="P37" s="99"/>
      <c r="Q37" s="99"/>
      <c r="R37" s="99"/>
      <c r="S37" s="99"/>
      <c r="T37" s="99"/>
      <c r="U37" s="107"/>
      <c r="V37" s="99"/>
      <c r="W37" s="99"/>
    </row>
    <row r="38" spans="1:23" x14ac:dyDescent="0.3">
      <c r="A38" s="101"/>
      <c r="B38" s="99"/>
      <c r="C38" s="99"/>
      <c r="D38" s="99"/>
      <c r="E38" s="99"/>
      <c r="F38" s="99"/>
      <c r="G38" s="99"/>
      <c r="H38" s="99"/>
      <c r="I38" s="99"/>
      <c r="J38" s="99"/>
      <c r="K38" s="107"/>
      <c r="L38" s="99"/>
      <c r="M38" s="99"/>
      <c r="N38" s="99"/>
      <c r="O38" s="99"/>
      <c r="P38" s="99"/>
      <c r="Q38" s="99"/>
      <c r="R38" s="99"/>
      <c r="S38" s="99"/>
      <c r="T38" s="99"/>
      <c r="U38" s="107"/>
      <c r="V38" s="99"/>
      <c r="W38" s="99"/>
    </row>
    <row r="39" spans="1:23" x14ac:dyDescent="0.3">
      <c r="A39" s="101"/>
      <c r="B39" s="99"/>
      <c r="C39" s="99"/>
      <c r="D39" s="99"/>
      <c r="E39" s="99"/>
      <c r="F39" s="99"/>
      <c r="G39" s="99"/>
      <c r="H39" s="99"/>
      <c r="I39" s="99"/>
      <c r="J39" s="99"/>
      <c r="K39" s="107"/>
      <c r="L39" s="99"/>
      <c r="M39" s="99"/>
      <c r="N39" s="99"/>
      <c r="O39" s="99"/>
      <c r="P39" s="99"/>
      <c r="Q39" s="99"/>
      <c r="R39" s="99"/>
      <c r="S39" s="99"/>
      <c r="T39" s="99"/>
      <c r="U39" s="107"/>
      <c r="V39" s="99"/>
      <c r="W39" s="99"/>
    </row>
    <row r="40" spans="1:23" x14ac:dyDescent="0.3">
      <c r="A40" s="101"/>
      <c r="B40" s="99"/>
      <c r="C40" s="99"/>
      <c r="D40" s="99"/>
      <c r="E40" s="99"/>
      <c r="F40" s="99"/>
      <c r="G40" s="99"/>
      <c r="H40" s="99"/>
      <c r="I40" s="99"/>
      <c r="J40" s="99"/>
      <c r="K40" s="107"/>
      <c r="L40" s="99"/>
      <c r="M40" s="99"/>
      <c r="N40" s="99"/>
      <c r="O40" s="99"/>
      <c r="P40" s="99"/>
      <c r="Q40" s="99"/>
      <c r="R40" s="99"/>
      <c r="S40" s="99"/>
      <c r="T40" s="99"/>
      <c r="U40" s="107"/>
      <c r="V40" s="99"/>
      <c r="W40" s="99"/>
    </row>
    <row r="41" spans="1:23" x14ac:dyDescent="0.3">
      <c r="A41" s="101"/>
      <c r="B41" s="99"/>
      <c r="C41" s="99"/>
      <c r="D41" s="99"/>
      <c r="E41" s="99"/>
      <c r="F41" s="99"/>
      <c r="G41" s="99"/>
      <c r="H41" s="99"/>
      <c r="I41" s="99"/>
      <c r="J41" s="99"/>
      <c r="K41" s="107"/>
      <c r="L41" s="99"/>
      <c r="M41" s="99"/>
      <c r="N41" s="99"/>
      <c r="O41" s="99"/>
      <c r="P41" s="99"/>
      <c r="Q41" s="99"/>
      <c r="R41" s="99"/>
      <c r="S41" s="99"/>
      <c r="T41" s="99"/>
      <c r="U41" s="107"/>
      <c r="V41" s="99"/>
      <c r="W41" s="99"/>
    </row>
    <row r="42" spans="1:23" x14ac:dyDescent="0.3">
      <c r="A42" s="101"/>
      <c r="B42" s="99"/>
      <c r="C42" s="99"/>
      <c r="D42" s="99"/>
      <c r="E42" s="99"/>
      <c r="F42" s="99"/>
      <c r="G42" s="99"/>
      <c r="H42" s="99"/>
      <c r="I42" s="99"/>
      <c r="J42" s="99"/>
      <c r="K42" s="107"/>
      <c r="L42" s="99"/>
      <c r="M42" s="99"/>
      <c r="N42" s="99"/>
      <c r="O42" s="99"/>
      <c r="P42" s="99"/>
      <c r="Q42" s="99"/>
      <c r="R42" s="99"/>
      <c r="S42" s="99"/>
      <c r="T42" s="99"/>
      <c r="U42" s="107"/>
      <c r="V42" s="99"/>
      <c r="W42" s="99"/>
    </row>
    <row r="43" spans="1:23" x14ac:dyDescent="0.3">
      <c r="A43" s="101"/>
      <c r="B43" s="99"/>
      <c r="C43" s="99"/>
      <c r="D43" s="99"/>
      <c r="E43" s="99"/>
      <c r="F43" s="99"/>
      <c r="G43" s="99"/>
      <c r="H43" s="99"/>
      <c r="I43" s="99"/>
      <c r="J43" s="99"/>
      <c r="K43" s="107"/>
      <c r="L43" s="99"/>
      <c r="M43" s="99"/>
      <c r="N43" s="99"/>
      <c r="O43" s="99"/>
      <c r="P43" s="99"/>
      <c r="Q43" s="99"/>
      <c r="R43" s="99"/>
      <c r="S43" s="99"/>
      <c r="T43" s="99"/>
      <c r="U43" s="107"/>
      <c r="V43" s="99"/>
      <c r="W43" s="99"/>
    </row>
    <row r="44" spans="1:23" x14ac:dyDescent="0.3">
      <c r="A44" s="101"/>
      <c r="B44" s="99"/>
      <c r="C44" s="99"/>
      <c r="D44" s="99"/>
      <c r="E44" s="99"/>
      <c r="F44" s="99"/>
      <c r="G44" s="99"/>
      <c r="H44" s="99"/>
      <c r="I44" s="99"/>
      <c r="J44" s="99"/>
      <c r="K44" s="107"/>
      <c r="L44" s="99"/>
      <c r="M44" s="99"/>
      <c r="N44" s="99"/>
      <c r="O44" s="99"/>
      <c r="P44" s="99"/>
      <c r="Q44" s="99"/>
      <c r="R44" s="99"/>
      <c r="S44" s="99"/>
      <c r="T44" s="99"/>
      <c r="U44" s="107"/>
      <c r="V44" s="99"/>
      <c r="W44" s="99"/>
    </row>
    <row r="45" spans="1:23" x14ac:dyDescent="0.3">
      <c r="A45" s="101"/>
      <c r="B45" s="99"/>
      <c r="C45" s="99"/>
      <c r="D45" s="99"/>
      <c r="E45" s="99"/>
      <c r="F45" s="99"/>
      <c r="G45" s="99"/>
      <c r="H45" s="99"/>
      <c r="I45" s="99"/>
      <c r="J45" s="99"/>
      <c r="K45" s="107"/>
      <c r="L45" s="99"/>
      <c r="M45" s="99"/>
      <c r="N45" s="99"/>
      <c r="O45" s="99"/>
      <c r="P45" s="99"/>
      <c r="Q45" s="99"/>
      <c r="R45" s="99"/>
      <c r="S45" s="99"/>
      <c r="T45" s="99"/>
      <c r="U45" s="107"/>
      <c r="V45" s="99"/>
      <c r="W45" s="99"/>
    </row>
    <row r="46" spans="1:23" x14ac:dyDescent="0.3">
      <c r="A46" s="101"/>
      <c r="B46" s="99"/>
      <c r="C46" s="99"/>
      <c r="D46" s="99"/>
      <c r="E46" s="99"/>
      <c r="F46" s="99"/>
      <c r="G46" s="99"/>
      <c r="H46" s="99"/>
      <c r="I46" s="99"/>
      <c r="J46" s="99"/>
      <c r="K46" s="107"/>
      <c r="L46" s="99"/>
      <c r="M46" s="99"/>
      <c r="N46" s="99"/>
      <c r="O46" s="99"/>
      <c r="P46" s="99"/>
      <c r="Q46" s="99"/>
      <c r="R46" s="99"/>
      <c r="S46" s="99"/>
      <c r="T46" s="99"/>
      <c r="U46" s="107"/>
      <c r="V46" s="99"/>
      <c r="W46" s="99"/>
    </row>
    <row r="47" spans="1:23" x14ac:dyDescent="0.3">
      <c r="A47" s="101"/>
      <c r="B47" s="99"/>
      <c r="C47" s="99"/>
      <c r="D47" s="99"/>
      <c r="E47" s="99"/>
      <c r="F47" s="99"/>
      <c r="G47" s="99"/>
      <c r="H47" s="99"/>
      <c r="I47" s="99"/>
      <c r="J47" s="99"/>
      <c r="K47" s="107"/>
      <c r="L47" s="99"/>
      <c r="M47" s="99"/>
      <c r="N47" s="99"/>
      <c r="O47" s="99"/>
      <c r="P47" s="99"/>
      <c r="Q47" s="99"/>
      <c r="R47" s="99"/>
      <c r="S47" s="99"/>
      <c r="T47" s="99"/>
      <c r="U47" s="107"/>
      <c r="V47" s="99"/>
      <c r="W47" s="99"/>
    </row>
    <row r="48" spans="1:23" x14ac:dyDescent="0.3">
      <c r="A48" s="101"/>
      <c r="B48" s="99"/>
      <c r="C48" s="99"/>
      <c r="D48" s="99"/>
      <c r="E48" s="99"/>
      <c r="F48" s="99"/>
      <c r="G48" s="99"/>
      <c r="H48" s="99"/>
      <c r="I48" s="99"/>
      <c r="J48" s="99"/>
      <c r="K48" s="107"/>
      <c r="L48" s="99"/>
      <c r="M48" s="99"/>
      <c r="N48" s="99"/>
      <c r="O48" s="99"/>
      <c r="P48" s="99"/>
      <c r="Q48" s="99"/>
      <c r="R48" s="99"/>
      <c r="S48" s="99"/>
      <c r="T48" s="99"/>
      <c r="U48" s="107"/>
      <c r="V48" s="99"/>
      <c r="W48" s="99"/>
    </row>
    <row r="49" spans="1:23" x14ac:dyDescent="0.3">
      <c r="A49" s="101"/>
      <c r="B49" s="99"/>
      <c r="C49" s="99"/>
      <c r="D49" s="99"/>
      <c r="E49" s="99"/>
      <c r="F49" s="99"/>
      <c r="G49" s="99"/>
      <c r="H49" s="99"/>
      <c r="I49" s="99"/>
      <c r="J49" s="99"/>
      <c r="K49" s="107"/>
      <c r="L49" s="99"/>
      <c r="M49" s="99"/>
      <c r="N49" s="99"/>
      <c r="O49" s="99"/>
      <c r="P49" s="99"/>
      <c r="Q49" s="99"/>
      <c r="R49" s="99"/>
      <c r="S49" s="99"/>
      <c r="T49" s="99"/>
      <c r="U49" s="107"/>
      <c r="V49" s="99"/>
      <c r="W49" s="99"/>
    </row>
    <row r="50" spans="1:23" x14ac:dyDescent="0.3">
      <c r="A50" s="101"/>
      <c r="B50" s="99"/>
      <c r="C50" s="99"/>
      <c r="D50" s="99"/>
      <c r="E50" s="99"/>
      <c r="F50" s="99"/>
      <c r="G50" s="99"/>
      <c r="H50" s="99"/>
      <c r="I50" s="99"/>
      <c r="J50" s="99"/>
      <c r="K50" s="107"/>
      <c r="L50" s="99"/>
      <c r="M50" s="99"/>
      <c r="N50" s="99"/>
      <c r="O50" s="99"/>
      <c r="P50" s="99"/>
      <c r="Q50" s="99"/>
      <c r="R50" s="99"/>
      <c r="S50" s="99"/>
      <c r="T50" s="99"/>
      <c r="U50" s="107"/>
      <c r="V50" s="99"/>
      <c r="W50" s="99"/>
    </row>
    <row r="51" spans="1:23" x14ac:dyDescent="0.3">
      <c r="A51" s="101"/>
      <c r="B51" s="99"/>
      <c r="C51" s="99"/>
      <c r="D51" s="99"/>
      <c r="E51" s="99"/>
      <c r="F51" s="99"/>
      <c r="G51" s="99"/>
      <c r="H51" s="99"/>
      <c r="I51" s="99"/>
      <c r="J51" s="99"/>
      <c r="K51" s="107"/>
      <c r="L51" s="99"/>
      <c r="M51" s="99"/>
      <c r="N51" s="99"/>
      <c r="O51" s="99"/>
      <c r="P51" s="99"/>
      <c r="Q51" s="99"/>
      <c r="R51" s="99"/>
      <c r="S51" s="99"/>
      <c r="T51" s="99"/>
      <c r="U51" s="107"/>
      <c r="V51" s="99"/>
      <c r="W51" s="99"/>
    </row>
    <row r="52" spans="1:23" x14ac:dyDescent="0.3">
      <c r="A52" s="101"/>
      <c r="B52" s="99"/>
      <c r="C52" s="99"/>
      <c r="D52" s="99"/>
      <c r="E52" s="99"/>
      <c r="F52" s="99"/>
      <c r="G52" s="99"/>
      <c r="H52" s="99"/>
      <c r="I52" s="99"/>
      <c r="J52" s="99"/>
      <c r="K52" s="107"/>
      <c r="L52" s="99"/>
      <c r="M52" s="99"/>
      <c r="N52" s="99"/>
      <c r="O52" s="99"/>
      <c r="P52" s="99"/>
      <c r="Q52" s="99"/>
      <c r="R52" s="99"/>
      <c r="S52" s="99"/>
      <c r="T52" s="99"/>
      <c r="U52" s="107"/>
      <c r="V52" s="99"/>
      <c r="W52" s="99"/>
    </row>
    <row r="53" spans="1:23" x14ac:dyDescent="0.3">
      <c r="A53" s="101"/>
      <c r="B53" s="99"/>
      <c r="C53" s="99"/>
      <c r="D53" s="99"/>
      <c r="E53" s="99"/>
      <c r="F53" s="99"/>
      <c r="G53" s="99"/>
      <c r="H53" s="99"/>
      <c r="I53" s="99"/>
      <c r="J53" s="99"/>
      <c r="K53" s="107"/>
      <c r="L53" s="99"/>
      <c r="M53" s="99"/>
      <c r="N53" s="99"/>
      <c r="O53" s="99"/>
      <c r="P53" s="99"/>
      <c r="Q53" s="99"/>
      <c r="R53" s="99"/>
      <c r="S53" s="99"/>
      <c r="T53" s="99"/>
      <c r="U53" s="107"/>
      <c r="V53" s="99"/>
      <c r="W53" s="99"/>
    </row>
    <row r="54" spans="1:23" x14ac:dyDescent="0.3">
      <c r="A54" s="101"/>
      <c r="B54" s="99"/>
      <c r="C54" s="99"/>
      <c r="D54" s="99"/>
      <c r="E54" s="99"/>
      <c r="F54" s="99"/>
      <c r="G54" s="99"/>
      <c r="H54" s="99"/>
      <c r="I54" s="99"/>
      <c r="J54" s="99"/>
      <c r="K54" s="107"/>
      <c r="L54" s="99"/>
      <c r="M54" s="99"/>
      <c r="N54" s="99"/>
      <c r="O54" s="99"/>
      <c r="P54" s="99"/>
      <c r="Q54" s="99"/>
      <c r="R54" s="99"/>
      <c r="S54" s="99"/>
      <c r="T54" s="99"/>
      <c r="U54" s="107"/>
      <c r="V54" s="99"/>
      <c r="W54" s="99"/>
    </row>
    <row r="55" spans="1:23" x14ac:dyDescent="0.3">
      <c r="A55" s="101"/>
      <c r="B55" s="99"/>
      <c r="C55" s="99"/>
      <c r="D55" s="99"/>
      <c r="E55" s="99"/>
      <c r="F55" s="99"/>
      <c r="G55" s="99"/>
      <c r="H55" s="99"/>
      <c r="I55" s="99"/>
      <c r="J55" s="99"/>
      <c r="K55" s="107"/>
      <c r="L55" s="99"/>
      <c r="M55" s="99"/>
      <c r="N55" s="99"/>
      <c r="O55" s="99"/>
      <c r="P55" s="99"/>
      <c r="Q55" s="99"/>
      <c r="R55" s="99"/>
      <c r="S55" s="99"/>
      <c r="T55" s="99"/>
      <c r="U55" s="107"/>
      <c r="V55" s="99"/>
      <c r="W55" s="99"/>
    </row>
    <row r="56" spans="1:23" x14ac:dyDescent="0.3">
      <c r="A56" s="101"/>
      <c r="B56" s="99"/>
      <c r="C56" s="99"/>
      <c r="D56" s="99"/>
      <c r="E56" s="99"/>
      <c r="F56" s="99"/>
      <c r="G56" s="99"/>
      <c r="H56" s="99"/>
      <c r="I56" s="99"/>
      <c r="J56" s="99"/>
      <c r="K56" s="107"/>
      <c r="L56" s="99"/>
      <c r="M56" s="99"/>
      <c r="N56" s="99"/>
      <c r="O56" s="99"/>
      <c r="P56" s="99"/>
      <c r="Q56" s="99"/>
      <c r="R56" s="99"/>
      <c r="S56" s="99"/>
      <c r="T56" s="99"/>
      <c r="U56" s="107"/>
      <c r="V56" s="99"/>
      <c r="W56" s="99"/>
    </row>
    <row r="57" spans="1:23" x14ac:dyDescent="0.3">
      <c r="A57" s="101"/>
      <c r="B57" s="99"/>
      <c r="C57" s="99"/>
      <c r="D57" s="99"/>
      <c r="E57" s="99"/>
      <c r="F57" s="99"/>
      <c r="G57" s="99"/>
      <c r="H57" s="99"/>
      <c r="I57" s="99"/>
      <c r="J57" s="99"/>
      <c r="K57" s="107"/>
      <c r="L57" s="99"/>
      <c r="M57" s="99"/>
      <c r="N57" s="99"/>
      <c r="O57" s="99"/>
      <c r="P57" s="99"/>
      <c r="Q57" s="99"/>
      <c r="R57" s="99"/>
      <c r="S57" s="99"/>
      <c r="T57" s="99"/>
      <c r="U57" s="107"/>
      <c r="V57" s="99"/>
      <c r="W57" s="99"/>
    </row>
    <row r="58" spans="1:23" ht="15" thickBot="1" x14ac:dyDescent="0.35">
      <c r="A58" s="104"/>
      <c r="B58" s="105"/>
      <c r="C58" s="105"/>
      <c r="D58" s="105"/>
      <c r="E58" s="105"/>
      <c r="F58" s="105"/>
      <c r="G58" s="105"/>
      <c r="H58" s="105"/>
      <c r="I58" s="105"/>
      <c r="J58" s="105"/>
      <c r="K58" s="108"/>
      <c r="L58" s="105"/>
      <c r="M58" s="105"/>
      <c r="N58" s="105"/>
      <c r="O58" s="105"/>
      <c r="P58" s="105"/>
      <c r="Q58" s="105"/>
      <c r="R58" s="105"/>
      <c r="S58" s="105"/>
      <c r="T58" s="103"/>
      <c r="U58" s="110"/>
      <c r="V58" s="99"/>
      <c r="W58" s="99"/>
    </row>
    <row r="59" spans="1:23" ht="15" thickTop="1" x14ac:dyDescent="0.3">
      <c r="A59" s="99"/>
      <c r="B59" s="99"/>
      <c r="C59" s="99"/>
      <c r="D59" s="99"/>
      <c r="E59" s="99"/>
      <c r="F59" s="99"/>
      <c r="G59" s="99"/>
      <c r="H59" s="99"/>
      <c r="I59" s="99"/>
      <c r="J59" s="99"/>
      <c r="K59" s="99"/>
      <c r="L59" s="99"/>
      <c r="M59" s="99"/>
      <c r="N59" s="99"/>
      <c r="O59" s="99"/>
      <c r="P59" s="99"/>
      <c r="Q59" s="99"/>
      <c r="R59" s="99"/>
      <c r="S59" s="99"/>
      <c r="T59" s="99"/>
      <c r="U59" s="99"/>
      <c r="V59" s="99"/>
      <c r="W59" s="99"/>
    </row>
    <row r="60" spans="1:23" x14ac:dyDescent="0.3">
      <c r="A60" s="99"/>
      <c r="B60" s="99"/>
      <c r="C60" s="99"/>
      <c r="D60" s="99"/>
      <c r="E60" s="99"/>
      <c r="F60" s="99"/>
      <c r="G60" s="99"/>
      <c r="H60" s="99"/>
      <c r="I60" s="99"/>
      <c r="J60" s="99"/>
      <c r="K60" s="99"/>
      <c r="L60" s="99"/>
      <c r="M60" s="99"/>
      <c r="N60" s="99"/>
      <c r="O60" s="99"/>
      <c r="P60" s="99"/>
      <c r="Q60" s="99"/>
      <c r="R60" s="99"/>
      <c r="S60" s="99"/>
      <c r="T60" s="99"/>
      <c r="U60" s="99"/>
      <c r="V60" s="99"/>
      <c r="W60" s="99"/>
    </row>
    <row r="61" spans="1:23" x14ac:dyDescent="0.3">
      <c r="A61" s="99"/>
      <c r="B61" s="99"/>
      <c r="C61" s="99"/>
      <c r="D61" s="99"/>
      <c r="E61" s="99"/>
      <c r="F61" s="99"/>
      <c r="G61" s="99"/>
      <c r="H61" s="99"/>
      <c r="I61" s="99"/>
      <c r="J61" s="99"/>
      <c r="K61" s="99"/>
      <c r="L61" s="99"/>
      <c r="M61" s="99"/>
      <c r="N61" s="99"/>
      <c r="O61" s="99"/>
      <c r="P61" s="99"/>
      <c r="Q61" s="99"/>
      <c r="R61" s="99"/>
      <c r="S61" s="99"/>
      <c r="T61" s="99"/>
      <c r="U61" s="99"/>
      <c r="V61" s="99"/>
      <c r="W61" s="99"/>
    </row>
    <row r="62" spans="1:23" x14ac:dyDescent="0.3">
      <c r="V62" s="99"/>
      <c r="W62" s="99"/>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388DE-0E59-420D-941C-9112A7FE423B}">
  <dimension ref="A2:S215"/>
  <sheetViews>
    <sheetView topLeftCell="G1" zoomScaleNormal="100" workbookViewId="0">
      <selection activeCell="S25" sqref="S25"/>
    </sheetView>
  </sheetViews>
  <sheetFormatPr defaultRowHeight="14.4" x14ac:dyDescent="0.3"/>
  <cols>
    <col min="1" max="1" width="18.44140625" bestFit="1" customWidth="1"/>
    <col min="2" max="2" width="10.21875" bestFit="1" customWidth="1"/>
    <col min="3" max="3" width="6.109375" customWidth="1"/>
    <col min="4" max="4" width="6.88671875" style="11" customWidth="1"/>
    <col min="5" max="5" width="19.21875" bestFit="1" customWidth="1"/>
    <col min="6" max="6" width="15.44140625" customWidth="1"/>
    <col min="7" max="7" width="11.33203125" bestFit="1" customWidth="1"/>
    <col min="8" max="9" width="19.21875" bestFit="1" customWidth="1"/>
    <col min="10" max="10" width="12.109375" customWidth="1"/>
    <col min="11" max="11" width="15.6640625" customWidth="1"/>
    <col min="12" max="12" width="19.21875" customWidth="1"/>
    <col min="13" max="13" width="11.44140625" bestFit="1" customWidth="1"/>
    <col min="14" max="14" width="16.33203125" bestFit="1" customWidth="1"/>
    <col min="15" max="15" width="12.44140625" bestFit="1" customWidth="1"/>
    <col min="16" max="16" width="10.5546875" bestFit="1" customWidth="1"/>
    <col min="17" max="17" width="18.88671875" customWidth="1"/>
    <col min="18" max="18" width="13.88671875" bestFit="1" customWidth="1"/>
    <col min="19" max="19" width="19.33203125" bestFit="1" customWidth="1"/>
    <col min="20" max="20" width="11.88671875" customWidth="1"/>
  </cols>
  <sheetData>
    <row r="2" spans="1:19" ht="18" x14ac:dyDescent="0.35">
      <c r="A2" s="77" t="s">
        <v>399</v>
      </c>
      <c r="B2" s="78"/>
      <c r="E2" s="79" t="s">
        <v>452</v>
      </c>
      <c r="F2" s="79"/>
      <c r="G2" s="59"/>
      <c r="H2" s="79" t="s">
        <v>446</v>
      </c>
      <c r="I2" s="79"/>
      <c r="J2" s="79"/>
      <c r="K2" s="79"/>
      <c r="L2" s="79"/>
      <c r="M2" s="66"/>
      <c r="N2" s="51" t="s">
        <v>425</v>
      </c>
      <c r="O2" s="24" t="s">
        <v>426</v>
      </c>
      <c r="Q2" s="68" t="s">
        <v>432</v>
      </c>
      <c r="R2" s="69" t="s">
        <v>456</v>
      </c>
    </row>
    <row r="3" spans="1:19" x14ac:dyDescent="0.3">
      <c r="A3" s="49" t="s">
        <v>400</v>
      </c>
      <c r="B3" s="41">
        <f>SUM(data[Total_Amount])</f>
        <v>229192.47000000041</v>
      </c>
      <c r="E3" s="27" t="s">
        <v>10</v>
      </c>
      <c r="F3" s="24" t="s">
        <v>453</v>
      </c>
      <c r="H3" s="36" t="s">
        <v>409</v>
      </c>
      <c r="I3" s="18" t="s">
        <v>430</v>
      </c>
      <c r="J3" s="39"/>
      <c r="K3" s="37"/>
      <c r="L3" s="38"/>
      <c r="N3" s="19" t="s">
        <v>22</v>
      </c>
      <c r="O3" s="25">
        <v>74</v>
      </c>
      <c r="Q3" s="70" t="s">
        <v>433</v>
      </c>
      <c r="R3" s="71">
        <v>1.534701849383825E-2</v>
      </c>
    </row>
    <row r="4" spans="1:19" x14ac:dyDescent="0.3">
      <c r="A4" s="50" t="s">
        <v>401</v>
      </c>
      <c r="B4" s="29">
        <f>COUNTA(data[Transaction_ID])</f>
        <v>250</v>
      </c>
      <c r="C4" s="17"/>
      <c r="E4" s="19" t="s">
        <v>63</v>
      </c>
      <c r="F4" s="26">
        <v>59288.39</v>
      </c>
      <c r="H4" s="27" t="s">
        <v>10</v>
      </c>
      <c r="I4" s="42" t="s">
        <v>19</v>
      </c>
      <c r="J4" s="39" t="s">
        <v>46</v>
      </c>
      <c r="K4" s="42" t="s">
        <v>33</v>
      </c>
      <c r="L4" s="15" t="s">
        <v>408</v>
      </c>
      <c r="N4" s="19" t="s">
        <v>27</v>
      </c>
      <c r="O4" s="25">
        <v>95</v>
      </c>
      <c r="Q4" s="70" t="s">
        <v>434</v>
      </c>
      <c r="R4" s="71">
        <v>2.3553097665021327E-4</v>
      </c>
    </row>
    <row r="5" spans="1:19" x14ac:dyDescent="0.3">
      <c r="A5" s="50" t="s">
        <v>402</v>
      </c>
      <c r="B5" s="47">
        <f>AVERAGE(data[Total_Amount])</f>
        <v>916.76988000000165</v>
      </c>
      <c r="C5" s="17"/>
      <c r="E5" s="19" t="s">
        <v>40</v>
      </c>
      <c r="F5" s="26">
        <v>50808.310000000012</v>
      </c>
      <c r="H5" s="19" t="s">
        <v>63</v>
      </c>
      <c r="I5" s="40">
        <v>50649.009999999995</v>
      </c>
      <c r="J5" s="40">
        <v>6399.7099999999991</v>
      </c>
      <c r="K5" s="40">
        <v>2239.67</v>
      </c>
      <c r="L5" s="43">
        <v>59288.389999999992</v>
      </c>
      <c r="N5" s="19" t="s">
        <v>36</v>
      </c>
      <c r="O5" s="25">
        <v>81</v>
      </c>
      <c r="Q5" s="70" t="s">
        <v>435</v>
      </c>
      <c r="R5" s="71">
        <v>-3.7957773661858748E-3</v>
      </c>
    </row>
    <row r="6" spans="1:19" x14ac:dyDescent="0.3">
      <c r="A6" s="50" t="s">
        <v>403</v>
      </c>
      <c r="B6" s="29">
        <f>SUM(data[Quantity])</f>
        <v>753</v>
      </c>
      <c r="C6" s="17"/>
      <c r="E6" s="19" t="s">
        <v>50</v>
      </c>
      <c r="F6" s="26">
        <v>41408.68</v>
      </c>
      <c r="H6" s="19" t="s">
        <v>40</v>
      </c>
      <c r="I6" s="30">
        <v>39239.040000000008</v>
      </c>
      <c r="J6" s="30">
        <v>10449.43</v>
      </c>
      <c r="K6" s="30">
        <v>1119.8399999999999</v>
      </c>
      <c r="L6" s="26">
        <v>50808.310000000005</v>
      </c>
      <c r="N6" s="15" t="s">
        <v>408</v>
      </c>
      <c r="O6" s="24">
        <v>250</v>
      </c>
      <c r="Q6" s="70" t="s">
        <v>436</v>
      </c>
      <c r="R6" s="71">
        <v>1034.4107250026311</v>
      </c>
    </row>
    <row r="7" spans="1:19" x14ac:dyDescent="0.3">
      <c r="A7" s="50" t="s">
        <v>404</v>
      </c>
      <c r="B7" s="29">
        <f>COUNTA(_xlfn.UNIQUE(data[Customer_ID],FALSE,FALSE))</f>
        <v>50</v>
      </c>
      <c r="E7" s="19" t="s">
        <v>21</v>
      </c>
      <c r="F7" s="26">
        <v>41288.340000000004</v>
      </c>
      <c r="H7" s="19" t="s">
        <v>50</v>
      </c>
      <c r="I7" s="30">
        <v>31429.350000000006</v>
      </c>
      <c r="J7" s="30">
        <v>8099.64</v>
      </c>
      <c r="K7" s="30">
        <v>1879.69</v>
      </c>
      <c r="L7" s="26">
        <v>41408.680000000008</v>
      </c>
      <c r="Q7" s="72" t="s">
        <v>437</v>
      </c>
      <c r="R7" s="73">
        <v>250</v>
      </c>
    </row>
    <row r="8" spans="1:19" x14ac:dyDescent="0.3">
      <c r="A8" s="50" t="s">
        <v>405</v>
      </c>
      <c r="B8" s="29">
        <f>COUNTA(_xlfn.UNIQUE(data[Product_Name]))</f>
        <v>10</v>
      </c>
      <c r="E8" s="19" t="s">
        <v>35</v>
      </c>
      <c r="F8" s="26">
        <v>36398.749999999993</v>
      </c>
      <c r="H8" s="19" t="s">
        <v>21</v>
      </c>
      <c r="I8" s="30">
        <v>24889.329999999998</v>
      </c>
      <c r="J8" s="30">
        <v>14399.3</v>
      </c>
      <c r="K8" s="30">
        <v>1999.71</v>
      </c>
      <c r="L8" s="26">
        <v>41288.339999999997</v>
      </c>
    </row>
    <row r="9" spans="1:19" x14ac:dyDescent="0.3">
      <c r="A9" s="50" t="s">
        <v>406</v>
      </c>
      <c r="B9" s="48" t="str">
        <f>TEXT(MIN(data[Date]), "dd-mm-yy")</f>
        <v>11-04-24</v>
      </c>
      <c r="E9" s="15" t="s">
        <v>408</v>
      </c>
      <c r="F9" s="23">
        <v>229192.47000000003</v>
      </c>
      <c r="H9" s="19" t="s">
        <v>35</v>
      </c>
      <c r="I9" s="30">
        <v>25549.319999999992</v>
      </c>
      <c r="J9" s="30">
        <v>9749.6000000000022</v>
      </c>
      <c r="K9" s="30">
        <v>1099.83</v>
      </c>
      <c r="L9" s="26">
        <v>36398.75</v>
      </c>
    </row>
    <row r="10" spans="1:19" x14ac:dyDescent="0.3">
      <c r="A10" s="50" t="s">
        <v>407</v>
      </c>
      <c r="B10" s="48" t="str">
        <f>TEXT(MAX(data[Date]), "dd-mm-yy")</f>
        <v>11-04-25</v>
      </c>
      <c r="D10"/>
      <c r="H10" s="15" t="s">
        <v>408</v>
      </c>
      <c r="I10" s="32">
        <v>171756.05000000002</v>
      </c>
      <c r="J10" s="23">
        <v>49097.68</v>
      </c>
      <c r="K10" s="64">
        <v>8338.74</v>
      </c>
      <c r="L10" s="23">
        <v>229192.46999999997</v>
      </c>
    </row>
    <row r="11" spans="1:19" x14ac:dyDescent="0.3">
      <c r="D11"/>
      <c r="R11" s="27" t="s">
        <v>455</v>
      </c>
      <c r="S11" s="24" t="s">
        <v>409</v>
      </c>
    </row>
    <row r="12" spans="1:19" x14ac:dyDescent="0.3">
      <c r="D12"/>
      <c r="R12" s="19" t="s">
        <v>62</v>
      </c>
      <c r="S12" s="26">
        <v>67499.25</v>
      </c>
    </row>
    <row r="13" spans="1:19" ht="18" x14ac:dyDescent="0.35">
      <c r="A13" s="79" t="s">
        <v>447</v>
      </c>
      <c r="B13" s="79"/>
      <c r="C13" s="65"/>
      <c r="D13"/>
      <c r="E13" s="74" t="s">
        <v>448</v>
      </c>
      <c r="F13" s="75"/>
      <c r="G13" s="75"/>
      <c r="H13" s="75"/>
      <c r="I13" s="75"/>
      <c r="J13" s="75"/>
      <c r="K13" s="75"/>
      <c r="L13" s="75"/>
      <c r="M13" s="75"/>
      <c r="N13" s="75"/>
      <c r="O13" s="75"/>
      <c r="P13" s="76"/>
      <c r="R13" s="19" t="s">
        <v>81</v>
      </c>
      <c r="S13" s="26">
        <v>67199.040000000008</v>
      </c>
    </row>
    <row r="14" spans="1:19" x14ac:dyDescent="0.3">
      <c r="A14" s="27" t="s">
        <v>431</v>
      </c>
      <c r="B14" s="24" t="s">
        <v>442</v>
      </c>
      <c r="D14"/>
      <c r="E14" s="36" t="s">
        <v>409</v>
      </c>
      <c r="F14" s="44" t="s">
        <v>429</v>
      </c>
      <c r="G14" s="39"/>
      <c r="H14" s="37"/>
      <c r="I14" s="37"/>
      <c r="J14" s="37"/>
      <c r="K14" s="37"/>
      <c r="L14" s="37"/>
      <c r="M14" s="37"/>
      <c r="N14" s="37"/>
      <c r="O14" s="37"/>
      <c r="P14" s="38"/>
      <c r="R14" s="19" t="s">
        <v>106</v>
      </c>
      <c r="S14" s="26">
        <v>23399.219999999998</v>
      </c>
    </row>
    <row r="15" spans="1:19" x14ac:dyDescent="0.3">
      <c r="A15" s="60" t="s">
        <v>411</v>
      </c>
      <c r="B15" s="62">
        <v>160444.72999999998</v>
      </c>
      <c r="D15"/>
      <c r="E15" s="27" t="s">
        <v>10</v>
      </c>
      <c r="F15" s="15" t="s">
        <v>62</v>
      </c>
      <c r="G15" s="15" t="s">
        <v>81</v>
      </c>
      <c r="H15" s="15" t="s">
        <v>106</v>
      </c>
      <c r="I15" s="15" t="s">
        <v>18</v>
      </c>
      <c r="J15" s="15" t="s">
        <v>45</v>
      </c>
      <c r="K15" s="15" t="s">
        <v>127</v>
      </c>
      <c r="L15" s="15" t="s">
        <v>118</v>
      </c>
      <c r="M15" s="15" t="s">
        <v>53</v>
      </c>
      <c r="N15" s="37" t="s">
        <v>32</v>
      </c>
      <c r="O15" s="15" t="s">
        <v>115</v>
      </c>
      <c r="P15" s="15" t="s">
        <v>408</v>
      </c>
      <c r="R15" s="19" t="s">
        <v>18</v>
      </c>
      <c r="S15" s="26">
        <v>21999.119999999999</v>
      </c>
    </row>
    <row r="16" spans="1:19" x14ac:dyDescent="0.3">
      <c r="A16" s="33" t="s">
        <v>416</v>
      </c>
      <c r="B16" s="61">
        <v>20919.330000000005</v>
      </c>
      <c r="D16"/>
      <c r="E16" s="19" t="s">
        <v>63</v>
      </c>
      <c r="F16" s="40">
        <v>27899.690000000002</v>
      </c>
      <c r="G16" s="40">
        <v>14699.789999999999</v>
      </c>
      <c r="H16" s="40">
        <v>3599.88</v>
      </c>
      <c r="I16" s="40">
        <v>4749.8099999999995</v>
      </c>
      <c r="J16" s="40">
        <v>1799.88</v>
      </c>
      <c r="K16" s="40">
        <v>999.95</v>
      </c>
      <c r="L16" s="40">
        <v>1349.85</v>
      </c>
      <c r="M16" s="40">
        <v>1949.8700000000001</v>
      </c>
      <c r="N16" s="43">
        <v>1199.8</v>
      </c>
      <c r="O16" s="41">
        <v>1039.8699999999999</v>
      </c>
      <c r="P16" s="43">
        <v>59288.39</v>
      </c>
      <c r="R16" s="19" t="s">
        <v>45</v>
      </c>
      <c r="S16" s="26">
        <v>15298.98</v>
      </c>
    </row>
    <row r="17" spans="1:19" x14ac:dyDescent="0.3">
      <c r="A17" s="33" t="s">
        <v>417</v>
      </c>
      <c r="B17" s="61">
        <v>17039.349999999999</v>
      </c>
      <c r="D17"/>
      <c r="E17" s="19" t="s">
        <v>40</v>
      </c>
      <c r="F17" s="30">
        <v>12599.859999999999</v>
      </c>
      <c r="G17" s="30">
        <v>16799.759999999998</v>
      </c>
      <c r="H17" s="30">
        <v>2099.9300000000003</v>
      </c>
      <c r="I17" s="30">
        <v>5999.76</v>
      </c>
      <c r="J17" s="30">
        <v>4949.67</v>
      </c>
      <c r="K17" s="30">
        <v>3399.8300000000004</v>
      </c>
      <c r="L17" s="30">
        <v>1889.79</v>
      </c>
      <c r="M17" s="30">
        <v>1949.8700000000001</v>
      </c>
      <c r="N17" s="26">
        <v>479.91999999999996</v>
      </c>
      <c r="O17" s="63">
        <v>639.91999999999996</v>
      </c>
      <c r="P17" s="26">
        <v>50808.31</v>
      </c>
      <c r="R17" s="19" t="s">
        <v>127</v>
      </c>
      <c r="S17" s="26">
        <v>10399.48</v>
      </c>
    </row>
    <row r="18" spans="1:19" x14ac:dyDescent="0.3">
      <c r="A18" s="33" t="s">
        <v>418</v>
      </c>
      <c r="B18" s="61">
        <v>19299.45</v>
      </c>
      <c r="D18"/>
      <c r="E18" s="19" t="s">
        <v>50</v>
      </c>
      <c r="F18" s="30">
        <v>7199.92</v>
      </c>
      <c r="G18" s="30">
        <v>19599.72</v>
      </c>
      <c r="H18" s="30">
        <v>5099.8300000000008</v>
      </c>
      <c r="I18" s="30">
        <v>2499.9</v>
      </c>
      <c r="J18" s="30">
        <v>2399.84</v>
      </c>
      <c r="K18" s="30">
        <v>599.97</v>
      </c>
      <c r="L18" s="30">
        <v>1079.8799999999999</v>
      </c>
      <c r="M18" s="30">
        <v>1049.93</v>
      </c>
      <c r="N18" s="26">
        <v>1799.7</v>
      </c>
      <c r="O18" s="63">
        <v>79.989999999999995</v>
      </c>
      <c r="P18" s="26">
        <v>41408.680000000008</v>
      </c>
      <c r="R18" s="19" t="s">
        <v>118</v>
      </c>
      <c r="S18" s="26">
        <v>8009.109999999996</v>
      </c>
    </row>
    <row r="19" spans="1:19" x14ac:dyDescent="0.3">
      <c r="A19" s="33" t="s">
        <v>419</v>
      </c>
      <c r="B19" s="61">
        <v>18479.399999999998</v>
      </c>
      <c r="D19"/>
      <c r="E19" s="19" t="s">
        <v>21</v>
      </c>
      <c r="F19" s="30">
        <v>7199.92</v>
      </c>
      <c r="G19" s="30">
        <v>9799.86</v>
      </c>
      <c r="H19" s="30">
        <v>5999.8000000000011</v>
      </c>
      <c r="I19" s="30">
        <v>5249.79</v>
      </c>
      <c r="J19" s="30">
        <v>4799.68</v>
      </c>
      <c r="K19" s="30">
        <v>3599.8200000000006</v>
      </c>
      <c r="L19" s="30">
        <v>1439.84</v>
      </c>
      <c r="M19" s="30">
        <v>1199.92</v>
      </c>
      <c r="N19" s="26">
        <v>959.83999999999992</v>
      </c>
      <c r="O19" s="63">
        <v>1039.8699999999999</v>
      </c>
      <c r="P19" s="26">
        <v>41288.340000000004</v>
      </c>
      <c r="R19" s="19" t="s">
        <v>53</v>
      </c>
      <c r="S19" s="26">
        <v>7049.5300000000007</v>
      </c>
    </row>
    <row r="20" spans="1:19" x14ac:dyDescent="0.3">
      <c r="A20" s="33" t="s">
        <v>420</v>
      </c>
      <c r="B20" s="61">
        <v>15759.43</v>
      </c>
      <c r="D20"/>
      <c r="E20" s="19" t="s">
        <v>35</v>
      </c>
      <c r="F20" s="30">
        <v>12599.86</v>
      </c>
      <c r="G20" s="30">
        <v>6299.91</v>
      </c>
      <c r="H20" s="30">
        <v>6599.78</v>
      </c>
      <c r="I20" s="30">
        <v>3499.8599999999997</v>
      </c>
      <c r="J20" s="30">
        <v>1349.91</v>
      </c>
      <c r="K20" s="30">
        <v>1799.91</v>
      </c>
      <c r="L20" s="30">
        <v>2249.75</v>
      </c>
      <c r="M20" s="30">
        <v>899.94</v>
      </c>
      <c r="N20" s="26">
        <v>779.87</v>
      </c>
      <c r="O20" s="63">
        <v>319.95999999999998</v>
      </c>
      <c r="P20" s="26">
        <v>36398.75</v>
      </c>
      <c r="R20" s="19" t="s">
        <v>32</v>
      </c>
      <c r="S20" s="26">
        <v>5219.1299999999992</v>
      </c>
    </row>
    <row r="21" spans="1:19" x14ac:dyDescent="0.3">
      <c r="A21" s="33" t="s">
        <v>421</v>
      </c>
      <c r="B21" s="61">
        <v>12989.509999999998</v>
      </c>
      <c r="D21"/>
      <c r="E21" s="15" t="s">
        <v>408</v>
      </c>
      <c r="F21" s="32">
        <v>67499.25</v>
      </c>
      <c r="G21" s="32">
        <v>67199.040000000008</v>
      </c>
      <c r="H21" s="32">
        <v>23399.22</v>
      </c>
      <c r="I21" s="32">
        <v>21999.119999999999</v>
      </c>
      <c r="J21" s="32">
        <v>15298.98</v>
      </c>
      <c r="K21" s="32">
        <v>10399.48</v>
      </c>
      <c r="L21" s="32">
        <v>8009.11</v>
      </c>
      <c r="M21" s="32">
        <v>7049.5300000000007</v>
      </c>
      <c r="N21" s="62">
        <v>5219.13</v>
      </c>
      <c r="O21" s="64">
        <v>3119.6099999999997</v>
      </c>
      <c r="P21" s="23">
        <v>229192.47000000003</v>
      </c>
      <c r="R21" s="19" t="s">
        <v>115</v>
      </c>
      <c r="S21" s="26">
        <v>3119.6099999999992</v>
      </c>
    </row>
    <row r="22" spans="1:19" x14ac:dyDescent="0.3">
      <c r="A22" s="33" t="s">
        <v>422</v>
      </c>
      <c r="B22" s="61">
        <v>20609.519999999997</v>
      </c>
      <c r="D22"/>
      <c r="R22" s="15" t="s">
        <v>408</v>
      </c>
      <c r="S22" s="23">
        <v>229192.47</v>
      </c>
    </row>
    <row r="23" spans="1:19" x14ac:dyDescent="0.3">
      <c r="A23" s="33" t="s">
        <v>423</v>
      </c>
      <c r="B23" s="61">
        <v>12309.439999999999</v>
      </c>
      <c r="D23"/>
    </row>
    <row r="24" spans="1:19" ht="18" x14ac:dyDescent="0.35">
      <c r="A24" s="33" t="s">
        <v>424</v>
      </c>
      <c r="B24" s="61">
        <v>23039.300000000003</v>
      </c>
      <c r="D24"/>
      <c r="E24" s="74" t="s">
        <v>449</v>
      </c>
      <c r="F24" s="76"/>
      <c r="H24" s="74" t="s">
        <v>450</v>
      </c>
      <c r="I24" s="75"/>
      <c r="J24" s="76"/>
      <c r="L24" s="74" t="s">
        <v>451</v>
      </c>
      <c r="M24" s="75"/>
      <c r="N24" s="76"/>
    </row>
    <row r="25" spans="1:19" x14ac:dyDescent="0.3">
      <c r="A25" s="20" t="s">
        <v>412</v>
      </c>
      <c r="B25" s="23">
        <v>68747.740000000005</v>
      </c>
      <c r="D25"/>
      <c r="E25" s="51" t="s">
        <v>427</v>
      </c>
      <c r="F25" s="24" t="s">
        <v>453</v>
      </c>
      <c r="H25" s="51" t="s">
        <v>428</v>
      </c>
      <c r="I25" s="15" t="s">
        <v>453</v>
      </c>
      <c r="J25" s="21" t="s">
        <v>454</v>
      </c>
      <c r="L25" s="18" t="s">
        <v>6</v>
      </c>
      <c r="M25" s="21" t="s">
        <v>453</v>
      </c>
      <c r="N25" s="15" t="s">
        <v>454</v>
      </c>
    </row>
    <row r="26" spans="1:19" x14ac:dyDescent="0.3">
      <c r="A26" s="33" t="s">
        <v>413</v>
      </c>
      <c r="B26" s="26">
        <v>25799.15</v>
      </c>
      <c r="D26"/>
      <c r="E26" s="19" t="s">
        <v>87</v>
      </c>
      <c r="F26" s="26">
        <v>15659.650000000001</v>
      </c>
      <c r="H26" s="19" t="s">
        <v>20</v>
      </c>
      <c r="I26" s="30">
        <v>57427.790000000015</v>
      </c>
      <c r="J26" s="25">
        <v>221</v>
      </c>
      <c r="L26" s="22" t="s">
        <v>19</v>
      </c>
      <c r="M26" s="30">
        <v>171756.05000000005</v>
      </c>
      <c r="N26" s="25">
        <v>395</v>
      </c>
    </row>
    <row r="27" spans="1:19" x14ac:dyDescent="0.3">
      <c r="A27" s="33" t="s">
        <v>414</v>
      </c>
      <c r="B27" s="26">
        <v>16069.379999999997</v>
      </c>
      <c r="D27"/>
      <c r="E27" s="19" t="s">
        <v>124</v>
      </c>
      <c r="F27" s="26">
        <v>11919.769999999999</v>
      </c>
      <c r="H27" s="19" t="s">
        <v>26</v>
      </c>
      <c r="I27" s="30">
        <v>61447.96</v>
      </c>
      <c r="J27" s="25">
        <v>204</v>
      </c>
      <c r="L27" s="22" t="s">
        <v>46</v>
      </c>
      <c r="M27" s="30">
        <v>49097.680000000015</v>
      </c>
      <c r="N27" s="25">
        <v>232</v>
      </c>
    </row>
    <row r="28" spans="1:19" x14ac:dyDescent="0.3">
      <c r="A28" s="33" t="s">
        <v>415</v>
      </c>
      <c r="B28" s="26">
        <v>19899.38</v>
      </c>
      <c r="D28"/>
      <c r="E28" s="19" t="s">
        <v>97</v>
      </c>
      <c r="F28" s="26">
        <v>10649.8</v>
      </c>
      <c r="H28" s="19" t="s">
        <v>57</v>
      </c>
      <c r="I28" s="30">
        <v>52118.31</v>
      </c>
      <c r="J28" s="25">
        <v>169</v>
      </c>
      <c r="L28" s="31" t="s">
        <v>33</v>
      </c>
      <c r="M28" s="30">
        <v>8338.739999999998</v>
      </c>
      <c r="N28" s="25">
        <v>126</v>
      </c>
    </row>
    <row r="29" spans="1:19" x14ac:dyDescent="0.3">
      <c r="A29" s="33" t="s">
        <v>416</v>
      </c>
      <c r="B29" s="26">
        <v>6979.829999999999</v>
      </c>
      <c r="D29"/>
      <c r="E29" s="19" t="s">
        <v>100</v>
      </c>
      <c r="F29" s="26">
        <v>9799.73</v>
      </c>
      <c r="H29" s="19" t="s">
        <v>34</v>
      </c>
      <c r="I29" s="30">
        <v>58198.410000000018</v>
      </c>
      <c r="J29" s="25">
        <v>159</v>
      </c>
      <c r="L29" s="15" t="s">
        <v>408</v>
      </c>
      <c r="M29" s="32">
        <v>229192.47000000006</v>
      </c>
      <c r="N29" s="23">
        <v>753</v>
      </c>
    </row>
    <row r="30" spans="1:19" x14ac:dyDescent="0.3">
      <c r="A30" s="15" t="s">
        <v>408</v>
      </c>
      <c r="B30" s="23">
        <v>229192.46999999997</v>
      </c>
      <c r="D30"/>
      <c r="E30" s="19" t="s">
        <v>16</v>
      </c>
      <c r="F30" s="26">
        <v>8309.74</v>
      </c>
      <c r="H30" s="15" t="s">
        <v>408</v>
      </c>
      <c r="I30" s="32">
        <v>229192.47000000003</v>
      </c>
      <c r="J30" s="24">
        <v>753</v>
      </c>
    </row>
    <row r="31" spans="1:19" x14ac:dyDescent="0.3">
      <c r="D31"/>
      <c r="E31" s="19" t="s">
        <v>49</v>
      </c>
      <c r="F31" s="26">
        <v>8269.7900000000009</v>
      </c>
    </row>
    <row r="32" spans="1:19" x14ac:dyDescent="0.3">
      <c r="D32"/>
      <c r="E32" s="19" t="s">
        <v>66</v>
      </c>
      <c r="F32" s="26">
        <v>8009.77</v>
      </c>
    </row>
    <row r="33" spans="4:6" x14ac:dyDescent="0.3">
      <c r="D33"/>
      <c r="E33" s="19" t="s">
        <v>148</v>
      </c>
      <c r="F33" s="26">
        <v>7309.7999999999993</v>
      </c>
    </row>
    <row r="34" spans="4:6" x14ac:dyDescent="0.3">
      <c r="D34"/>
      <c r="E34" s="19" t="s">
        <v>227</v>
      </c>
      <c r="F34" s="26">
        <v>6989.77</v>
      </c>
    </row>
    <row r="35" spans="4:6" x14ac:dyDescent="0.3">
      <c r="D35"/>
      <c r="E35" s="19" t="s">
        <v>25</v>
      </c>
      <c r="F35" s="26">
        <v>6949.84</v>
      </c>
    </row>
    <row r="36" spans="4:6" x14ac:dyDescent="0.3">
      <c r="D36"/>
      <c r="E36" s="15" t="s">
        <v>408</v>
      </c>
      <c r="F36" s="23">
        <v>93867.66</v>
      </c>
    </row>
    <row r="37" spans="4:6" x14ac:dyDescent="0.3">
      <c r="D37"/>
    </row>
    <row r="38" spans="4:6" x14ac:dyDescent="0.3">
      <c r="D38"/>
    </row>
    <row r="39" spans="4:6" x14ac:dyDescent="0.3">
      <c r="D39"/>
    </row>
    <row r="40" spans="4:6" x14ac:dyDescent="0.3">
      <c r="D40"/>
    </row>
    <row r="41" spans="4:6" x14ac:dyDescent="0.3">
      <c r="D41"/>
    </row>
    <row r="42" spans="4:6" x14ac:dyDescent="0.3">
      <c r="D42"/>
    </row>
    <row r="43" spans="4:6" x14ac:dyDescent="0.3">
      <c r="D43"/>
    </row>
    <row r="44" spans="4:6" x14ac:dyDescent="0.3">
      <c r="D44"/>
    </row>
    <row r="45" spans="4:6" x14ac:dyDescent="0.3">
      <c r="D45"/>
    </row>
    <row r="46" spans="4:6" x14ac:dyDescent="0.3">
      <c r="D46"/>
    </row>
    <row r="47" spans="4:6" x14ac:dyDescent="0.3">
      <c r="D47"/>
    </row>
    <row r="48" spans="4:6" x14ac:dyDescent="0.3">
      <c r="D48"/>
    </row>
    <row r="49" spans="1:9" x14ac:dyDescent="0.3">
      <c r="A49" s="67"/>
      <c r="B49" s="67"/>
      <c r="C49" s="67"/>
      <c r="D49" s="67"/>
      <c r="E49" s="67"/>
      <c r="F49" s="67"/>
      <c r="G49" s="17"/>
      <c r="H49" s="17"/>
      <c r="I49" s="17"/>
    </row>
    <row r="50" spans="1:9" x14ac:dyDescent="0.3">
      <c r="A50" s="52"/>
      <c r="B50" s="52"/>
      <c r="C50" s="52"/>
      <c r="D50" s="52"/>
      <c r="E50" s="52"/>
      <c r="F50" s="52"/>
      <c r="G50" s="17"/>
      <c r="H50" s="17"/>
      <c r="I50" s="17"/>
    </row>
    <row r="51" spans="1:9" x14ac:dyDescent="0.3">
      <c r="A51" s="52"/>
      <c r="B51" s="52"/>
      <c r="C51" s="52"/>
      <c r="D51" s="52"/>
      <c r="E51" s="52"/>
      <c r="F51" s="52"/>
      <c r="G51" s="17"/>
      <c r="H51" s="17"/>
      <c r="I51" s="17"/>
    </row>
    <row r="52" spans="1:9" x14ac:dyDescent="0.3">
      <c r="A52" s="52"/>
      <c r="B52" s="52"/>
      <c r="C52" s="52"/>
      <c r="D52" s="52"/>
      <c r="E52" s="52"/>
      <c r="F52" s="52"/>
      <c r="G52" s="17"/>
      <c r="H52" s="17"/>
      <c r="I52" s="17"/>
    </row>
    <row r="53" spans="1:9" x14ac:dyDescent="0.3">
      <c r="A53" s="17"/>
      <c r="B53" s="17"/>
      <c r="C53" s="17"/>
      <c r="D53" s="17"/>
      <c r="E53" s="17"/>
      <c r="F53" s="17"/>
      <c r="G53" s="17"/>
      <c r="H53" s="17"/>
      <c r="I53" s="17"/>
    </row>
    <row r="54" spans="1:9" x14ac:dyDescent="0.3">
      <c r="A54" s="67"/>
      <c r="B54" s="67"/>
      <c r="C54" s="67"/>
      <c r="D54" s="67"/>
      <c r="E54" s="67"/>
      <c r="F54" s="67"/>
      <c r="G54" s="67"/>
      <c r="H54" s="67"/>
      <c r="I54" s="67"/>
    </row>
    <row r="55" spans="1:9" x14ac:dyDescent="0.3">
      <c r="A55" s="52"/>
      <c r="B55" s="52"/>
      <c r="C55" s="52"/>
      <c r="D55" s="52"/>
      <c r="E55" s="52"/>
      <c r="F55" s="52"/>
      <c r="G55" s="52"/>
      <c r="H55" s="52"/>
      <c r="I55" s="52"/>
    </row>
    <row r="56" spans="1:9" x14ac:dyDescent="0.3">
      <c r="A56" s="52"/>
      <c r="B56" s="52"/>
      <c r="C56" s="52"/>
      <c r="D56" s="52"/>
      <c r="E56" s="52"/>
      <c r="F56" s="52"/>
      <c r="G56" s="52"/>
      <c r="H56" s="52"/>
      <c r="I56" s="52"/>
    </row>
    <row r="57" spans="1:9" x14ac:dyDescent="0.3">
      <c r="A57" s="17"/>
      <c r="B57" s="17"/>
      <c r="C57" s="17"/>
      <c r="D57" s="17"/>
      <c r="E57" s="17"/>
      <c r="F57" s="17"/>
      <c r="G57" s="17"/>
      <c r="H57" s="17"/>
      <c r="I57" s="17"/>
    </row>
    <row r="58" spans="1:9" x14ac:dyDescent="0.3">
      <c r="D58"/>
    </row>
    <row r="59" spans="1:9" x14ac:dyDescent="0.3">
      <c r="D59"/>
    </row>
    <row r="60" spans="1:9" x14ac:dyDescent="0.3">
      <c r="D60"/>
    </row>
    <row r="61" spans="1:9" x14ac:dyDescent="0.3">
      <c r="D61"/>
    </row>
    <row r="62" spans="1:9" x14ac:dyDescent="0.3">
      <c r="D62"/>
    </row>
    <row r="63" spans="1:9" x14ac:dyDescent="0.3">
      <c r="D63"/>
    </row>
    <row r="64" spans="1:9" x14ac:dyDescent="0.3">
      <c r="D64"/>
    </row>
    <row r="65" spans="4:4" x14ac:dyDescent="0.3">
      <c r="D65"/>
    </row>
    <row r="66" spans="4:4" x14ac:dyDescent="0.3">
      <c r="D66"/>
    </row>
    <row r="67" spans="4:4" x14ac:dyDescent="0.3">
      <c r="D67"/>
    </row>
    <row r="68" spans="4:4" x14ac:dyDescent="0.3">
      <c r="D68"/>
    </row>
    <row r="69" spans="4:4" x14ac:dyDescent="0.3">
      <c r="D69"/>
    </row>
    <row r="70" spans="4:4" x14ac:dyDescent="0.3">
      <c r="D70"/>
    </row>
    <row r="71" spans="4:4" x14ac:dyDescent="0.3">
      <c r="D71"/>
    </row>
    <row r="72" spans="4:4" x14ac:dyDescent="0.3">
      <c r="D72"/>
    </row>
    <row r="73" spans="4:4" x14ac:dyDescent="0.3">
      <c r="D73"/>
    </row>
    <row r="74" spans="4:4" x14ac:dyDescent="0.3">
      <c r="D74"/>
    </row>
    <row r="75" spans="4:4" x14ac:dyDescent="0.3">
      <c r="D75"/>
    </row>
    <row r="76" spans="4:4" x14ac:dyDescent="0.3">
      <c r="D76"/>
    </row>
    <row r="77" spans="4:4" x14ac:dyDescent="0.3">
      <c r="D77"/>
    </row>
    <row r="78" spans="4:4" x14ac:dyDescent="0.3">
      <c r="D78"/>
    </row>
    <row r="79" spans="4:4" x14ac:dyDescent="0.3">
      <c r="D79"/>
    </row>
    <row r="80" spans="4:4" x14ac:dyDescent="0.3">
      <c r="D80"/>
    </row>
    <row r="81" spans="4:4" x14ac:dyDescent="0.3">
      <c r="D81"/>
    </row>
    <row r="82" spans="4:4" x14ac:dyDescent="0.3">
      <c r="D82"/>
    </row>
    <row r="83" spans="4:4" x14ac:dyDescent="0.3">
      <c r="D83"/>
    </row>
    <row r="84" spans="4:4" x14ac:dyDescent="0.3">
      <c r="D84"/>
    </row>
    <row r="85" spans="4:4" x14ac:dyDescent="0.3">
      <c r="D85"/>
    </row>
    <row r="86" spans="4:4" x14ac:dyDescent="0.3">
      <c r="D86"/>
    </row>
    <row r="87" spans="4:4" x14ac:dyDescent="0.3">
      <c r="D87"/>
    </row>
    <row r="88" spans="4:4" x14ac:dyDescent="0.3">
      <c r="D88"/>
    </row>
    <row r="89" spans="4:4" x14ac:dyDescent="0.3">
      <c r="D89"/>
    </row>
    <row r="90" spans="4:4" x14ac:dyDescent="0.3">
      <c r="D90"/>
    </row>
    <row r="91" spans="4:4" x14ac:dyDescent="0.3">
      <c r="D91"/>
    </row>
    <row r="92" spans="4:4" x14ac:dyDescent="0.3">
      <c r="D92"/>
    </row>
    <row r="93" spans="4:4" x14ac:dyDescent="0.3">
      <c r="D93"/>
    </row>
    <row r="94" spans="4:4" x14ac:dyDescent="0.3">
      <c r="D94"/>
    </row>
    <row r="95" spans="4:4" x14ac:dyDescent="0.3">
      <c r="D95"/>
    </row>
    <row r="96" spans="4:4" x14ac:dyDescent="0.3">
      <c r="D96"/>
    </row>
    <row r="97" spans="4:4" x14ac:dyDescent="0.3">
      <c r="D97"/>
    </row>
    <row r="98" spans="4:4" x14ac:dyDescent="0.3">
      <c r="D98"/>
    </row>
    <row r="99" spans="4:4" x14ac:dyDescent="0.3">
      <c r="D99"/>
    </row>
    <row r="100" spans="4:4" x14ac:dyDescent="0.3">
      <c r="D100"/>
    </row>
    <row r="101" spans="4:4" x14ac:dyDescent="0.3">
      <c r="D101"/>
    </row>
    <row r="102" spans="4:4" x14ac:dyDescent="0.3">
      <c r="D102"/>
    </row>
    <row r="103" spans="4:4" x14ac:dyDescent="0.3">
      <c r="D103"/>
    </row>
    <row r="104" spans="4:4" x14ac:dyDescent="0.3">
      <c r="D104"/>
    </row>
    <row r="105" spans="4:4" x14ac:dyDescent="0.3">
      <c r="D105"/>
    </row>
    <row r="106" spans="4:4" x14ac:dyDescent="0.3">
      <c r="D106"/>
    </row>
    <row r="107" spans="4:4" x14ac:dyDescent="0.3">
      <c r="D107"/>
    </row>
    <row r="108" spans="4:4" x14ac:dyDescent="0.3">
      <c r="D108"/>
    </row>
    <row r="109" spans="4:4" x14ac:dyDescent="0.3">
      <c r="D109"/>
    </row>
    <row r="110" spans="4:4" x14ac:dyDescent="0.3">
      <c r="D110"/>
    </row>
    <row r="111" spans="4:4" x14ac:dyDescent="0.3">
      <c r="D111"/>
    </row>
    <row r="112" spans="4:4" x14ac:dyDescent="0.3">
      <c r="D112"/>
    </row>
    <row r="113" spans="4:4" x14ac:dyDescent="0.3">
      <c r="D113"/>
    </row>
    <row r="114" spans="4:4" x14ac:dyDescent="0.3">
      <c r="D114"/>
    </row>
    <row r="115" spans="4:4" x14ac:dyDescent="0.3">
      <c r="D115"/>
    </row>
    <row r="116" spans="4:4" x14ac:dyDescent="0.3">
      <c r="D116"/>
    </row>
    <row r="117" spans="4:4" x14ac:dyDescent="0.3">
      <c r="D117"/>
    </row>
    <row r="118" spans="4:4" x14ac:dyDescent="0.3">
      <c r="D118"/>
    </row>
    <row r="119" spans="4:4" x14ac:dyDescent="0.3">
      <c r="D119"/>
    </row>
    <row r="120" spans="4:4" x14ac:dyDescent="0.3">
      <c r="D120"/>
    </row>
    <row r="121" spans="4:4" x14ac:dyDescent="0.3">
      <c r="D121"/>
    </row>
    <row r="122" spans="4:4" x14ac:dyDescent="0.3">
      <c r="D122"/>
    </row>
    <row r="123" spans="4:4" x14ac:dyDescent="0.3">
      <c r="D123"/>
    </row>
    <row r="124" spans="4:4" x14ac:dyDescent="0.3">
      <c r="D124"/>
    </row>
    <row r="125" spans="4:4" x14ac:dyDescent="0.3">
      <c r="D125"/>
    </row>
    <row r="126" spans="4:4" x14ac:dyDescent="0.3">
      <c r="D126"/>
    </row>
    <row r="127" spans="4:4" x14ac:dyDescent="0.3">
      <c r="D127"/>
    </row>
    <row r="128" spans="4:4" x14ac:dyDescent="0.3">
      <c r="D128"/>
    </row>
    <row r="129" spans="4:4" x14ac:dyDescent="0.3">
      <c r="D129"/>
    </row>
    <row r="130" spans="4:4" x14ac:dyDescent="0.3">
      <c r="D130"/>
    </row>
    <row r="131" spans="4:4" x14ac:dyDescent="0.3">
      <c r="D131"/>
    </row>
    <row r="132" spans="4:4" x14ac:dyDescent="0.3">
      <c r="D132"/>
    </row>
    <row r="133" spans="4:4" x14ac:dyDescent="0.3">
      <c r="D133"/>
    </row>
    <row r="134" spans="4:4" x14ac:dyDescent="0.3">
      <c r="D134"/>
    </row>
    <row r="135" spans="4:4" x14ac:dyDescent="0.3">
      <c r="D135"/>
    </row>
    <row r="136" spans="4:4" x14ac:dyDescent="0.3">
      <c r="D136"/>
    </row>
    <row r="137" spans="4:4" x14ac:dyDescent="0.3">
      <c r="D137"/>
    </row>
    <row r="138" spans="4:4" x14ac:dyDescent="0.3">
      <c r="D138"/>
    </row>
    <row r="139" spans="4:4" x14ac:dyDescent="0.3">
      <c r="D139"/>
    </row>
    <row r="140" spans="4:4" x14ac:dyDescent="0.3">
      <c r="D140"/>
    </row>
    <row r="141" spans="4:4" x14ac:dyDescent="0.3">
      <c r="D141"/>
    </row>
    <row r="142" spans="4:4" x14ac:dyDescent="0.3">
      <c r="D142"/>
    </row>
    <row r="143" spans="4:4" x14ac:dyDescent="0.3">
      <c r="D143"/>
    </row>
    <row r="144" spans="4:4" x14ac:dyDescent="0.3">
      <c r="D144"/>
    </row>
    <row r="145" spans="4:4" x14ac:dyDescent="0.3">
      <c r="D145"/>
    </row>
    <row r="146" spans="4:4" x14ac:dyDescent="0.3">
      <c r="D146"/>
    </row>
    <row r="147" spans="4:4" x14ac:dyDescent="0.3">
      <c r="D147"/>
    </row>
    <row r="148" spans="4:4" x14ac:dyDescent="0.3">
      <c r="D148"/>
    </row>
    <row r="149" spans="4:4" x14ac:dyDescent="0.3">
      <c r="D149"/>
    </row>
    <row r="150" spans="4:4" x14ac:dyDescent="0.3">
      <c r="D150"/>
    </row>
    <row r="151" spans="4:4" x14ac:dyDescent="0.3">
      <c r="D151"/>
    </row>
    <row r="152" spans="4:4" x14ac:dyDescent="0.3">
      <c r="D152"/>
    </row>
    <row r="153" spans="4:4" x14ac:dyDescent="0.3">
      <c r="D153"/>
    </row>
    <row r="154" spans="4:4" x14ac:dyDescent="0.3">
      <c r="D154"/>
    </row>
    <row r="155" spans="4:4" x14ac:dyDescent="0.3">
      <c r="D155"/>
    </row>
    <row r="156" spans="4:4" x14ac:dyDescent="0.3">
      <c r="D156"/>
    </row>
    <row r="157" spans="4:4" x14ac:dyDescent="0.3">
      <c r="D157"/>
    </row>
    <row r="158" spans="4:4" x14ac:dyDescent="0.3">
      <c r="D158"/>
    </row>
    <row r="159" spans="4:4" x14ac:dyDescent="0.3">
      <c r="D159"/>
    </row>
    <row r="160" spans="4:4" x14ac:dyDescent="0.3">
      <c r="D160"/>
    </row>
    <row r="161" spans="4:4" x14ac:dyDescent="0.3">
      <c r="D161"/>
    </row>
    <row r="162" spans="4:4" x14ac:dyDescent="0.3">
      <c r="D162"/>
    </row>
    <row r="163" spans="4:4" x14ac:dyDescent="0.3">
      <c r="D163"/>
    </row>
    <row r="164" spans="4:4" x14ac:dyDescent="0.3">
      <c r="D164"/>
    </row>
    <row r="165" spans="4:4" x14ac:dyDescent="0.3">
      <c r="D165"/>
    </row>
    <row r="166" spans="4:4" x14ac:dyDescent="0.3">
      <c r="D166"/>
    </row>
    <row r="167" spans="4:4" x14ac:dyDescent="0.3">
      <c r="D167"/>
    </row>
    <row r="168" spans="4:4" x14ac:dyDescent="0.3">
      <c r="D168"/>
    </row>
    <row r="169" spans="4:4" x14ac:dyDescent="0.3">
      <c r="D169"/>
    </row>
    <row r="170" spans="4:4" x14ac:dyDescent="0.3">
      <c r="D170"/>
    </row>
    <row r="171" spans="4:4" x14ac:dyDescent="0.3">
      <c r="D171"/>
    </row>
    <row r="172" spans="4:4" x14ac:dyDescent="0.3">
      <c r="D172"/>
    </row>
    <row r="173" spans="4:4" x14ac:dyDescent="0.3">
      <c r="D173"/>
    </row>
    <row r="174" spans="4:4" x14ac:dyDescent="0.3">
      <c r="D174"/>
    </row>
    <row r="175" spans="4:4" x14ac:dyDescent="0.3">
      <c r="D175"/>
    </row>
    <row r="176" spans="4:4" x14ac:dyDescent="0.3">
      <c r="D176"/>
    </row>
    <row r="177" spans="4:4" x14ac:dyDescent="0.3">
      <c r="D177"/>
    </row>
    <row r="178" spans="4:4" x14ac:dyDescent="0.3">
      <c r="D178"/>
    </row>
    <row r="179" spans="4:4" x14ac:dyDescent="0.3">
      <c r="D179"/>
    </row>
    <row r="180" spans="4:4" x14ac:dyDescent="0.3">
      <c r="D180"/>
    </row>
    <row r="181" spans="4:4" x14ac:dyDescent="0.3">
      <c r="D181"/>
    </row>
    <row r="182" spans="4:4" x14ac:dyDescent="0.3">
      <c r="D182"/>
    </row>
    <row r="183" spans="4:4" x14ac:dyDescent="0.3">
      <c r="D183"/>
    </row>
    <row r="184" spans="4:4" x14ac:dyDescent="0.3">
      <c r="D184"/>
    </row>
    <row r="185" spans="4:4" x14ac:dyDescent="0.3">
      <c r="D185"/>
    </row>
    <row r="186" spans="4:4" x14ac:dyDescent="0.3">
      <c r="D186"/>
    </row>
    <row r="187" spans="4:4" x14ac:dyDescent="0.3">
      <c r="D187"/>
    </row>
    <row r="188" spans="4:4" x14ac:dyDescent="0.3">
      <c r="D188"/>
    </row>
    <row r="189" spans="4:4" x14ac:dyDescent="0.3">
      <c r="D189"/>
    </row>
    <row r="190" spans="4:4" x14ac:dyDescent="0.3">
      <c r="D190"/>
    </row>
    <row r="191" spans="4:4" x14ac:dyDescent="0.3">
      <c r="D191"/>
    </row>
    <row r="192" spans="4:4" x14ac:dyDescent="0.3">
      <c r="D192"/>
    </row>
    <row r="193" spans="4:4" x14ac:dyDescent="0.3">
      <c r="D193"/>
    </row>
    <row r="194" spans="4:4" x14ac:dyDescent="0.3">
      <c r="D194"/>
    </row>
    <row r="195" spans="4:4" x14ac:dyDescent="0.3">
      <c r="D195"/>
    </row>
    <row r="196" spans="4:4" x14ac:dyDescent="0.3">
      <c r="D196"/>
    </row>
    <row r="197" spans="4:4" x14ac:dyDescent="0.3">
      <c r="D197"/>
    </row>
    <row r="198" spans="4:4" x14ac:dyDescent="0.3">
      <c r="D198"/>
    </row>
    <row r="199" spans="4:4" x14ac:dyDescent="0.3">
      <c r="D199"/>
    </row>
    <row r="200" spans="4:4" x14ac:dyDescent="0.3">
      <c r="D200"/>
    </row>
    <row r="201" spans="4:4" x14ac:dyDescent="0.3">
      <c r="D201"/>
    </row>
    <row r="202" spans="4:4" x14ac:dyDescent="0.3">
      <c r="D202"/>
    </row>
    <row r="203" spans="4:4" x14ac:dyDescent="0.3">
      <c r="D203"/>
    </row>
    <row r="204" spans="4:4" x14ac:dyDescent="0.3">
      <c r="D204"/>
    </row>
    <row r="205" spans="4:4" x14ac:dyDescent="0.3">
      <c r="D205"/>
    </row>
    <row r="206" spans="4:4" x14ac:dyDescent="0.3">
      <c r="D206"/>
    </row>
    <row r="207" spans="4:4" x14ac:dyDescent="0.3">
      <c r="D207"/>
    </row>
    <row r="208" spans="4:4" x14ac:dyDescent="0.3">
      <c r="D208"/>
    </row>
    <row r="209" spans="4:4" x14ac:dyDescent="0.3">
      <c r="D209"/>
    </row>
    <row r="210" spans="4:4" x14ac:dyDescent="0.3">
      <c r="D210"/>
    </row>
    <row r="211" spans="4:4" x14ac:dyDescent="0.3">
      <c r="D211"/>
    </row>
    <row r="212" spans="4:4" x14ac:dyDescent="0.3">
      <c r="D212"/>
    </row>
    <row r="213" spans="4:4" x14ac:dyDescent="0.3">
      <c r="D213"/>
    </row>
    <row r="214" spans="4:4" x14ac:dyDescent="0.3">
      <c r="D214"/>
    </row>
    <row r="215" spans="4:4" x14ac:dyDescent="0.3">
      <c r="D215"/>
    </row>
  </sheetData>
  <mergeCells count="8">
    <mergeCell ref="L24:N24"/>
    <mergeCell ref="E24:F24"/>
    <mergeCell ref="H24:J24"/>
    <mergeCell ref="A2:B2"/>
    <mergeCell ref="E13:P13"/>
    <mergeCell ref="A13:B13"/>
    <mergeCell ref="E2:F2"/>
    <mergeCell ref="H2:L2"/>
  </mergeCell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C9E5A-BABD-4762-A935-41C948A9DA36}">
  <dimension ref="A3:I13"/>
  <sheetViews>
    <sheetView workbookViewId="0">
      <selection activeCell="F13" sqref="F13"/>
    </sheetView>
  </sheetViews>
  <sheetFormatPr defaultRowHeight="14.4" x14ac:dyDescent="0.3"/>
  <cols>
    <col min="1" max="1" width="11.77734375" bestFit="1" customWidth="1"/>
    <col min="2" max="2" width="9.6640625" bestFit="1" customWidth="1"/>
    <col min="3" max="3" width="11.77734375" bestFit="1" customWidth="1"/>
    <col min="4" max="4" width="8" customWidth="1"/>
    <col min="5" max="5" width="15.109375" customWidth="1"/>
    <col min="6" max="6" width="15.6640625" customWidth="1"/>
    <col min="7" max="7" width="18.77734375" customWidth="1"/>
    <col min="8" max="8" width="13.44140625" customWidth="1"/>
    <col min="9" max="9" width="13.77734375" bestFit="1" customWidth="1"/>
  </cols>
  <sheetData>
    <row r="3" spans="1:9" x14ac:dyDescent="0.3">
      <c r="A3" s="81" t="s">
        <v>440</v>
      </c>
      <c r="B3" s="84" t="s">
        <v>441</v>
      </c>
      <c r="C3" s="85" t="s">
        <v>442</v>
      </c>
      <c r="E3" s="80" t="s">
        <v>445</v>
      </c>
      <c r="F3" s="93"/>
      <c r="G3" s="94"/>
      <c r="H3" s="28"/>
      <c r="I3" s="57"/>
    </row>
    <row r="4" spans="1:9" x14ac:dyDescent="0.3">
      <c r="A4" s="83" t="str" cm="1">
        <f t="array" ref="A4:A13">_xlfn.UNIQUE(data[Product_Name],FALSE,FALSE)</f>
        <v>Coffee Maker</v>
      </c>
      <c r="B4" s="89">
        <f>Datas!I2</f>
        <v>79.989999999999995</v>
      </c>
      <c r="C4" s="86">
        <f>SUMIF(data[Unit_Price], B4, data[Total_Amount])</f>
        <v>3119.6099999999992</v>
      </c>
      <c r="E4" s="92" t="s">
        <v>440</v>
      </c>
      <c r="F4" s="82" t="s">
        <v>444</v>
      </c>
      <c r="G4" s="82" t="s">
        <v>443</v>
      </c>
    </row>
    <row r="5" spans="1:9" x14ac:dyDescent="0.3">
      <c r="A5" s="83" t="str">
        <v>Desk</v>
      </c>
      <c r="B5" s="90">
        <f>Datas!I4</f>
        <v>149.99</v>
      </c>
      <c r="C5" s="87">
        <f>SUMIF(data[Unit_Price], B5, data[Total_Amount])</f>
        <v>22348.51</v>
      </c>
      <c r="E5" s="20" t="s">
        <v>32</v>
      </c>
      <c r="F5" s="95">
        <v>0</v>
      </c>
      <c r="G5" s="87">
        <f>(INDEX($C$3:$C$13,MATCH($E$5,$A$3:$A$13,0))*(1+F5))</f>
        <v>67199.039999999994</v>
      </c>
    </row>
    <row r="6" spans="1:9" x14ac:dyDescent="0.3">
      <c r="A6" s="83" t="str">
        <v>Bookshelf</v>
      </c>
      <c r="B6" s="90">
        <f>Datas!I5</f>
        <v>89.99</v>
      </c>
      <c r="C6" s="87">
        <f>SUMIF(data[Unit_Price], B6, data[Total_Amount])</f>
        <v>8009.1099999999951</v>
      </c>
      <c r="E6" s="58"/>
      <c r="F6" s="95">
        <v>0.05</v>
      </c>
      <c r="G6" s="87">
        <f t="shared" ref="G6:G8" si="0">(INDEX($C$3:$C$13,MATCH($E$5,$A$3:$A$13,0))*(1+F6))</f>
        <v>70558.991999999998</v>
      </c>
    </row>
    <row r="7" spans="1:9" x14ac:dyDescent="0.3">
      <c r="A7" s="83" t="str">
        <v>Keyboard</v>
      </c>
      <c r="B7" s="90">
        <f>Datas!I9</f>
        <v>149.99</v>
      </c>
      <c r="C7" s="87">
        <f>SUMIF(data[Unit_Price], B7, data[Total_Amount])</f>
        <v>22348.51</v>
      </c>
      <c r="E7" s="58"/>
      <c r="F7" s="95">
        <v>0.1</v>
      </c>
      <c r="G7" s="87">
        <f t="shared" si="0"/>
        <v>73918.944000000003</v>
      </c>
    </row>
    <row r="8" spans="1:9" x14ac:dyDescent="0.3">
      <c r="A8" s="83" t="str">
        <v>Headphones</v>
      </c>
      <c r="B8" s="90">
        <f>Datas!I10</f>
        <v>699.99</v>
      </c>
      <c r="C8" s="87">
        <f>SUMIF(data[Unit_Price], B8, data[Total_Amount])</f>
        <v>67199.039999999994</v>
      </c>
      <c r="E8" s="58"/>
      <c r="F8" s="96">
        <v>0.15</v>
      </c>
      <c r="G8" s="88">
        <f t="shared" si="0"/>
        <v>77278.895999999993</v>
      </c>
    </row>
    <row r="9" spans="1:9" x14ac:dyDescent="0.3">
      <c r="A9" s="83" t="str">
        <v>Blender</v>
      </c>
      <c r="B9" s="90">
        <f>Datas!I16</f>
        <v>699.99</v>
      </c>
      <c r="C9" s="87">
        <f>SUMIF(data[Unit_Price], B9, data[Total_Amount])</f>
        <v>67199.039999999994</v>
      </c>
    </row>
    <row r="10" spans="1:9" x14ac:dyDescent="0.3">
      <c r="A10" s="83" t="str">
        <v>Smartphone</v>
      </c>
      <c r="B10" s="90">
        <f>Datas!I25</f>
        <v>149.99</v>
      </c>
      <c r="C10" s="87">
        <f>SUMIF(data[Unit_Price], B10, data[Total_Amount])</f>
        <v>22348.51</v>
      </c>
    </row>
    <row r="11" spans="1:9" x14ac:dyDescent="0.3">
      <c r="A11" s="83" t="str">
        <v>Monitor</v>
      </c>
      <c r="B11" s="90">
        <f>Datas!I27</f>
        <v>899.99</v>
      </c>
      <c r="C11" s="87">
        <f>SUMIF(data[Unit_Price], B11, data[Total_Amount])</f>
        <v>67499.249999999985</v>
      </c>
    </row>
    <row r="12" spans="1:9" x14ac:dyDescent="0.3">
      <c r="A12" s="83" t="str">
        <v>Laptop</v>
      </c>
      <c r="B12" s="90">
        <f>Datas!I28</f>
        <v>199.99</v>
      </c>
      <c r="C12" s="87">
        <f>SUMIF(data[Unit_Price], B12, data[Total_Amount])</f>
        <v>10399.48</v>
      </c>
    </row>
    <row r="13" spans="1:9" x14ac:dyDescent="0.3">
      <c r="A13" s="83" t="str">
        <v>Office Chair</v>
      </c>
      <c r="B13" s="91">
        <f>Datas!I31</f>
        <v>899.99</v>
      </c>
      <c r="C13" s="88">
        <f>SUMIF(data[Unit_Price], B13, data[Total_Amount])</f>
        <v>67499.249999999985</v>
      </c>
    </row>
  </sheetData>
  <autoFilter ref="A3:C3" xr:uid="{029C9E5A-BABD-4762-A935-41C948A9DA36}"/>
  <mergeCells count="1">
    <mergeCell ref="E3:G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C4D5C-EAED-428D-8AD8-302ECCC05AF4}">
  <dimension ref="A1:S251"/>
  <sheetViews>
    <sheetView zoomScale="85" zoomScaleNormal="85" workbookViewId="0">
      <selection activeCell="N8" sqref="N8"/>
    </sheetView>
  </sheetViews>
  <sheetFormatPr defaultRowHeight="14.4" x14ac:dyDescent="0.3"/>
  <cols>
    <col min="1" max="1" width="17" bestFit="1" customWidth="1"/>
    <col min="2" max="2" width="10.5546875" style="46" bestFit="1" customWidth="1"/>
    <col min="3" max="3" width="14.88671875" bestFit="1" customWidth="1"/>
    <col min="4" max="4" width="18.44140625" bestFit="1" customWidth="1"/>
    <col min="5" max="5" width="13.5546875" bestFit="1" customWidth="1"/>
    <col min="6" max="6" width="17.109375" bestFit="1" customWidth="1"/>
    <col min="7" max="8" width="11.44140625" bestFit="1" customWidth="1"/>
    <col min="9" max="9" width="12.77734375" style="11" bestFit="1" customWidth="1"/>
    <col min="10" max="10" width="18.21875" customWidth="1"/>
    <col min="11" max="11" width="9.6640625" bestFit="1" customWidth="1"/>
    <col min="12" max="12" width="21.109375" bestFit="1" customWidth="1"/>
    <col min="13" max="13" width="17.88671875" style="46" bestFit="1" customWidth="1"/>
    <col min="14" max="14" width="16.5546875" style="11" bestFit="1" customWidth="1"/>
    <col min="15" max="15" width="16.33203125" bestFit="1" customWidth="1"/>
    <col min="17" max="17" width="8.88671875" style="53"/>
    <col min="19" max="19" width="11.77734375" bestFit="1" customWidth="1"/>
  </cols>
  <sheetData>
    <row r="1" spans="1:19" s="1" customFormat="1" x14ac:dyDescent="0.3">
      <c r="A1" s="2" t="s">
        <v>0</v>
      </c>
      <c r="B1" s="45" t="s">
        <v>1</v>
      </c>
      <c r="C1" s="3" t="s">
        <v>2</v>
      </c>
      <c r="D1" s="3" t="s">
        <v>3</v>
      </c>
      <c r="E1" s="3" t="s">
        <v>4</v>
      </c>
      <c r="F1" s="3" t="s">
        <v>5</v>
      </c>
      <c r="G1" s="3" t="s">
        <v>6</v>
      </c>
      <c r="H1" s="3" t="s">
        <v>7</v>
      </c>
      <c r="I1" s="8" t="s">
        <v>8</v>
      </c>
      <c r="J1" s="3" t="s">
        <v>9</v>
      </c>
      <c r="K1" s="3" t="s">
        <v>10</v>
      </c>
      <c r="L1" s="3" t="s">
        <v>11</v>
      </c>
      <c r="M1" s="45" t="s">
        <v>12</v>
      </c>
      <c r="N1" s="12" t="s">
        <v>13</v>
      </c>
      <c r="O1" s="3" t="s">
        <v>410</v>
      </c>
      <c r="P1" s="54" t="s">
        <v>438</v>
      </c>
      <c r="Q1" s="55" t="s">
        <v>439</v>
      </c>
    </row>
    <row r="2" spans="1:19" x14ac:dyDescent="0.3">
      <c r="A2" s="4" t="s">
        <v>225</v>
      </c>
      <c r="B2" s="34">
        <v>45528</v>
      </c>
      <c r="C2" s="5" t="s">
        <v>226</v>
      </c>
      <c r="D2" s="5" t="s">
        <v>227</v>
      </c>
      <c r="E2" s="5" t="s">
        <v>114</v>
      </c>
      <c r="F2" s="5" t="s">
        <v>115</v>
      </c>
      <c r="G2" s="5" t="s">
        <v>33</v>
      </c>
      <c r="H2" s="5">
        <v>3</v>
      </c>
      <c r="I2" s="9">
        <v>79.989999999999995</v>
      </c>
      <c r="J2" s="5" t="s">
        <v>20</v>
      </c>
      <c r="K2" s="5" t="s">
        <v>21</v>
      </c>
      <c r="L2" s="5" t="s">
        <v>27</v>
      </c>
      <c r="M2" s="34">
        <v>44779</v>
      </c>
      <c r="N2" s="13">
        <v>239.97</v>
      </c>
      <c r="O2" s="16">
        <f>DATEDIF(data[[#This Row],[Customer_Since]], data[[#This Row],[Date]], "D")</f>
        <v>749</v>
      </c>
      <c r="P2" s="5" t="str">
        <f>TEXT(data[[#This Row],[Date]], "mmm")</f>
        <v>Aug</v>
      </c>
      <c r="Q2" s="5">
        <f>ROUNDUP(MONTH(data[[#This Row],[Date]])/3,0)</f>
        <v>3</v>
      </c>
    </row>
    <row r="3" spans="1:19" x14ac:dyDescent="0.3">
      <c r="A3" s="4" t="s">
        <v>207</v>
      </c>
      <c r="B3" s="34">
        <v>45501</v>
      </c>
      <c r="C3" s="5" t="s">
        <v>147</v>
      </c>
      <c r="D3" s="5" t="s">
        <v>148</v>
      </c>
      <c r="E3" s="5" t="s">
        <v>105</v>
      </c>
      <c r="F3" s="5" t="s">
        <v>106</v>
      </c>
      <c r="G3" s="5" t="s">
        <v>46</v>
      </c>
      <c r="H3" s="5">
        <v>3</v>
      </c>
      <c r="I3" s="9">
        <v>299.99</v>
      </c>
      <c r="J3" s="5" t="s">
        <v>20</v>
      </c>
      <c r="K3" s="5" t="s">
        <v>21</v>
      </c>
      <c r="L3" s="5" t="s">
        <v>22</v>
      </c>
      <c r="M3" s="34">
        <v>44732</v>
      </c>
      <c r="N3" s="13">
        <v>899.97</v>
      </c>
      <c r="O3" s="16">
        <f>DATEDIF(data[[#This Row],[Customer_Since]], data[[#This Row],[Date]], "D")</f>
        <v>769</v>
      </c>
      <c r="P3" s="5" t="str">
        <f>TEXT(data[[#This Row],[Date]], "mmm")</f>
        <v>Jul</v>
      </c>
      <c r="Q3" s="5">
        <f>ROUNDUP(MONTH(data[[#This Row],[Date]])/3,0)</f>
        <v>3</v>
      </c>
    </row>
    <row r="4" spans="1:19" x14ac:dyDescent="0.3">
      <c r="A4" s="4" t="s">
        <v>381</v>
      </c>
      <c r="B4" s="34">
        <v>45737</v>
      </c>
      <c r="C4" s="5" t="s">
        <v>132</v>
      </c>
      <c r="D4" s="5" t="s">
        <v>133</v>
      </c>
      <c r="E4" s="5" t="s">
        <v>44</v>
      </c>
      <c r="F4" s="5" t="s">
        <v>45</v>
      </c>
      <c r="G4" s="5" t="s">
        <v>46</v>
      </c>
      <c r="H4" s="5">
        <v>2</v>
      </c>
      <c r="I4" s="9">
        <v>149.99</v>
      </c>
      <c r="J4" s="5" t="s">
        <v>20</v>
      </c>
      <c r="K4" s="5" t="s">
        <v>50</v>
      </c>
      <c r="L4" s="5" t="s">
        <v>27</v>
      </c>
      <c r="M4" s="34">
        <v>45233</v>
      </c>
      <c r="N4" s="13">
        <v>299.98</v>
      </c>
      <c r="O4" s="16">
        <f>DATEDIF(data[[#This Row],[Customer_Since]], data[[#This Row],[Date]], "D")</f>
        <v>504</v>
      </c>
      <c r="P4" s="5" t="str">
        <f>TEXT(data[[#This Row],[Date]], "mmm")</f>
        <v>Mar</v>
      </c>
      <c r="Q4" s="5">
        <f>ROUNDUP(MONTH(data[[#This Row],[Date]])/3,0)</f>
        <v>1</v>
      </c>
    </row>
    <row r="5" spans="1:19" x14ac:dyDescent="0.3">
      <c r="A5" s="4" t="s">
        <v>116</v>
      </c>
      <c r="B5" s="34">
        <v>45424</v>
      </c>
      <c r="C5" s="5" t="s">
        <v>99</v>
      </c>
      <c r="D5" s="5" t="s">
        <v>100</v>
      </c>
      <c r="E5" s="5" t="s">
        <v>117</v>
      </c>
      <c r="F5" s="5" t="s">
        <v>118</v>
      </c>
      <c r="G5" s="5" t="s">
        <v>19</v>
      </c>
      <c r="H5" s="5">
        <v>5</v>
      </c>
      <c r="I5" s="9">
        <v>89.99</v>
      </c>
      <c r="J5" s="5" t="s">
        <v>20</v>
      </c>
      <c r="K5" s="5" t="s">
        <v>40</v>
      </c>
      <c r="L5" s="5" t="s">
        <v>27</v>
      </c>
      <c r="M5" s="34">
        <v>44919</v>
      </c>
      <c r="N5" s="13">
        <v>449.95</v>
      </c>
      <c r="O5" s="16">
        <f>DATEDIF(data[[#This Row],[Customer_Since]], data[[#This Row],[Date]], "D")</f>
        <v>505</v>
      </c>
      <c r="P5" s="5" t="str">
        <f>TEXT(data[[#This Row],[Date]], "mmm")</f>
        <v>May</v>
      </c>
      <c r="Q5" s="5">
        <f>ROUNDUP(MONTH(data[[#This Row],[Date]])/3,0)</f>
        <v>2</v>
      </c>
    </row>
    <row r="6" spans="1:19" x14ac:dyDescent="0.3">
      <c r="A6" s="4" t="s">
        <v>245</v>
      </c>
      <c r="B6" s="34">
        <v>45550</v>
      </c>
      <c r="C6" s="5" t="s">
        <v>246</v>
      </c>
      <c r="D6" s="5" t="s">
        <v>247</v>
      </c>
      <c r="E6" s="5" t="s">
        <v>52</v>
      </c>
      <c r="F6" s="5" t="s">
        <v>53</v>
      </c>
      <c r="G6" s="5" t="s">
        <v>19</v>
      </c>
      <c r="H6" s="5">
        <v>4</v>
      </c>
      <c r="I6" s="9">
        <v>149.99</v>
      </c>
      <c r="J6" s="5" t="s">
        <v>20</v>
      </c>
      <c r="K6" s="5" t="s">
        <v>40</v>
      </c>
      <c r="L6" s="5" t="s">
        <v>22</v>
      </c>
      <c r="M6" s="34">
        <v>44909</v>
      </c>
      <c r="N6" s="13">
        <v>599.96</v>
      </c>
      <c r="O6" s="16">
        <f>DATEDIF(data[[#This Row],[Customer_Since]], data[[#This Row],[Date]], "D")</f>
        <v>641</v>
      </c>
      <c r="P6" s="5" t="str">
        <f>TEXT(data[[#This Row],[Date]], "mmm")</f>
        <v>Sep</v>
      </c>
      <c r="Q6" s="5">
        <f>ROUNDUP(MONTH(data[[#This Row],[Date]])/3,0)</f>
        <v>3</v>
      </c>
    </row>
    <row r="7" spans="1:19" x14ac:dyDescent="0.3">
      <c r="A7" s="4" t="s">
        <v>202</v>
      </c>
      <c r="B7" s="34">
        <v>45498</v>
      </c>
      <c r="C7" s="5" t="s">
        <v>182</v>
      </c>
      <c r="D7" s="5" t="s">
        <v>183</v>
      </c>
      <c r="E7" s="5" t="s">
        <v>31</v>
      </c>
      <c r="F7" s="5" t="s">
        <v>32</v>
      </c>
      <c r="G7" s="5" t="s">
        <v>33</v>
      </c>
      <c r="H7" s="5">
        <v>2</v>
      </c>
      <c r="I7" s="9">
        <v>59.99</v>
      </c>
      <c r="J7" s="5" t="s">
        <v>20</v>
      </c>
      <c r="K7" s="5" t="s">
        <v>40</v>
      </c>
      <c r="L7" s="5" t="s">
        <v>36</v>
      </c>
      <c r="M7" s="34">
        <v>45152</v>
      </c>
      <c r="N7" s="13">
        <v>119.98</v>
      </c>
      <c r="O7" s="16">
        <f>DATEDIF(data[[#This Row],[Customer_Since]], data[[#This Row],[Date]], "D")</f>
        <v>346</v>
      </c>
      <c r="P7" s="5" t="str">
        <f>TEXT(data[[#This Row],[Date]], "mmm")</f>
        <v>Jul</v>
      </c>
      <c r="Q7" s="5">
        <f>ROUNDUP(MONTH(data[[#This Row],[Date]])/3,0)</f>
        <v>3</v>
      </c>
      <c r="S7" s="11"/>
    </row>
    <row r="8" spans="1:19" x14ac:dyDescent="0.3">
      <c r="A8" s="4" t="s">
        <v>174</v>
      </c>
      <c r="B8" s="34">
        <v>45469</v>
      </c>
      <c r="C8" s="5" t="s">
        <v>59</v>
      </c>
      <c r="D8" s="5" t="s">
        <v>60</v>
      </c>
      <c r="E8" s="5" t="s">
        <v>117</v>
      </c>
      <c r="F8" s="5" t="s">
        <v>118</v>
      </c>
      <c r="G8" s="5" t="s">
        <v>19</v>
      </c>
      <c r="H8" s="5">
        <v>2</v>
      </c>
      <c r="I8" s="9">
        <v>89.99</v>
      </c>
      <c r="J8" s="5" t="s">
        <v>20</v>
      </c>
      <c r="K8" s="5" t="s">
        <v>50</v>
      </c>
      <c r="L8" s="5" t="s">
        <v>22</v>
      </c>
      <c r="M8" s="34">
        <v>44438</v>
      </c>
      <c r="N8" s="13">
        <v>179.98</v>
      </c>
      <c r="O8" s="16">
        <f>DATEDIF(data[[#This Row],[Customer_Since]], data[[#This Row],[Date]], "D")</f>
        <v>1031</v>
      </c>
      <c r="P8" s="5" t="str">
        <f>TEXT(data[[#This Row],[Date]], "mmm")</f>
        <v>Jun</v>
      </c>
      <c r="Q8" s="5">
        <f>ROUNDUP(MONTH(data[[#This Row],[Date]])/3,0)</f>
        <v>2</v>
      </c>
    </row>
    <row r="9" spans="1:19" x14ac:dyDescent="0.3">
      <c r="A9" s="4" t="s">
        <v>316</v>
      </c>
      <c r="B9" s="34">
        <v>45648</v>
      </c>
      <c r="C9" s="5" t="s">
        <v>182</v>
      </c>
      <c r="D9" s="5" t="s">
        <v>183</v>
      </c>
      <c r="E9" s="5" t="s">
        <v>44</v>
      </c>
      <c r="F9" s="5" t="s">
        <v>45</v>
      </c>
      <c r="G9" s="5" t="s">
        <v>46</v>
      </c>
      <c r="H9" s="5">
        <v>3</v>
      </c>
      <c r="I9" s="9">
        <v>149.99</v>
      </c>
      <c r="J9" s="5" t="s">
        <v>57</v>
      </c>
      <c r="K9" s="5" t="s">
        <v>40</v>
      </c>
      <c r="L9" s="5" t="s">
        <v>36</v>
      </c>
      <c r="M9" s="34">
        <v>44522</v>
      </c>
      <c r="N9" s="13">
        <v>449.97</v>
      </c>
      <c r="O9" s="16">
        <f>DATEDIF(data[[#This Row],[Customer_Since]], data[[#This Row],[Date]], "D")</f>
        <v>1126</v>
      </c>
      <c r="P9" s="5" t="str">
        <f>TEXT(data[[#This Row],[Date]], "mmm")</f>
        <v>Dec</v>
      </c>
      <c r="Q9" s="5">
        <f>ROUNDUP(MONTH(data[[#This Row],[Date]])/3,0)</f>
        <v>4</v>
      </c>
      <c r="R9" s="11"/>
    </row>
    <row r="10" spans="1:19" x14ac:dyDescent="0.3">
      <c r="A10" s="4" t="s">
        <v>274</v>
      </c>
      <c r="B10" s="34">
        <v>45588</v>
      </c>
      <c r="C10" s="5" t="s">
        <v>154</v>
      </c>
      <c r="D10" s="5" t="s">
        <v>155</v>
      </c>
      <c r="E10" s="5" t="s">
        <v>80</v>
      </c>
      <c r="F10" s="5" t="s">
        <v>81</v>
      </c>
      <c r="G10" s="5" t="s">
        <v>19</v>
      </c>
      <c r="H10" s="5">
        <v>2</v>
      </c>
      <c r="I10" s="9">
        <v>699.99</v>
      </c>
      <c r="J10" s="5" t="s">
        <v>20</v>
      </c>
      <c r="K10" s="5" t="s">
        <v>21</v>
      </c>
      <c r="L10" s="5" t="s">
        <v>22</v>
      </c>
      <c r="M10" s="34">
        <v>44992</v>
      </c>
      <c r="N10" s="13">
        <v>1399.98</v>
      </c>
      <c r="O10" s="16">
        <f>DATEDIF(data[[#This Row],[Customer_Since]], data[[#This Row],[Date]], "D")</f>
        <v>596</v>
      </c>
      <c r="P10" s="5" t="str">
        <f>TEXT(data[[#This Row],[Date]], "mmm")</f>
        <v>Oct</v>
      </c>
      <c r="Q10" s="5">
        <f>ROUNDUP(MONTH(data[[#This Row],[Date]])/3,0)</f>
        <v>4</v>
      </c>
      <c r="R10" s="11"/>
    </row>
    <row r="11" spans="1:19" x14ac:dyDescent="0.3">
      <c r="A11" s="4" t="s">
        <v>348</v>
      </c>
      <c r="B11" s="34">
        <v>45688</v>
      </c>
      <c r="C11" s="5" t="s">
        <v>65</v>
      </c>
      <c r="D11" s="5" t="s">
        <v>66</v>
      </c>
      <c r="E11" s="5" t="s">
        <v>80</v>
      </c>
      <c r="F11" s="5" t="s">
        <v>81</v>
      </c>
      <c r="G11" s="5" t="s">
        <v>19</v>
      </c>
      <c r="H11" s="5">
        <v>4</v>
      </c>
      <c r="I11" s="9">
        <v>699.99</v>
      </c>
      <c r="J11" s="5" t="s">
        <v>57</v>
      </c>
      <c r="K11" s="5" t="s">
        <v>50</v>
      </c>
      <c r="L11" s="5" t="s">
        <v>27</v>
      </c>
      <c r="M11" s="34">
        <v>44692</v>
      </c>
      <c r="N11" s="13">
        <v>2799.96</v>
      </c>
      <c r="O11" s="16">
        <f>DATEDIF(data[[#This Row],[Customer_Since]], data[[#This Row],[Date]], "D")</f>
        <v>996</v>
      </c>
      <c r="P11" s="5" t="str">
        <f>TEXT(data[[#This Row],[Date]], "mmm")</f>
        <v>Jan</v>
      </c>
      <c r="Q11" s="5">
        <f>ROUNDUP(MONTH(data[[#This Row],[Date]])/3,0)</f>
        <v>1</v>
      </c>
      <c r="R11" s="11"/>
    </row>
    <row r="12" spans="1:19" x14ac:dyDescent="0.3">
      <c r="A12" s="4" t="s">
        <v>354</v>
      </c>
      <c r="B12" s="34">
        <v>45696</v>
      </c>
      <c r="C12" s="5" t="s">
        <v>150</v>
      </c>
      <c r="D12" s="5" t="s">
        <v>151</v>
      </c>
      <c r="E12" s="5" t="s">
        <v>31</v>
      </c>
      <c r="F12" s="5" t="s">
        <v>32</v>
      </c>
      <c r="G12" s="5" t="s">
        <v>33</v>
      </c>
      <c r="H12" s="5">
        <v>5</v>
      </c>
      <c r="I12" s="9">
        <v>59.99</v>
      </c>
      <c r="J12" s="5" t="s">
        <v>57</v>
      </c>
      <c r="K12" s="5" t="s">
        <v>21</v>
      </c>
      <c r="L12" s="5" t="s">
        <v>36</v>
      </c>
      <c r="M12" s="34">
        <v>45177</v>
      </c>
      <c r="N12" s="13">
        <v>299.95</v>
      </c>
      <c r="O12" s="16">
        <f>DATEDIF(data[[#This Row],[Customer_Since]], data[[#This Row],[Date]], "D")</f>
        <v>519</v>
      </c>
      <c r="P12" s="5" t="str">
        <f>TEXT(data[[#This Row],[Date]], "mmm")</f>
        <v>Feb</v>
      </c>
      <c r="Q12" s="5">
        <f>ROUNDUP(MONTH(data[[#This Row],[Date]])/3,0)</f>
        <v>1</v>
      </c>
    </row>
    <row r="13" spans="1:19" x14ac:dyDescent="0.3">
      <c r="A13" s="4" t="s">
        <v>292</v>
      </c>
      <c r="B13" s="34">
        <v>45622</v>
      </c>
      <c r="C13" s="5" t="s">
        <v>293</v>
      </c>
      <c r="D13" s="5" t="s">
        <v>294</v>
      </c>
      <c r="E13" s="5" t="s">
        <v>17</v>
      </c>
      <c r="F13" s="5" t="s">
        <v>18</v>
      </c>
      <c r="G13" s="5" t="s">
        <v>19</v>
      </c>
      <c r="H13" s="5">
        <v>5</v>
      </c>
      <c r="I13" s="9">
        <v>249.99</v>
      </c>
      <c r="J13" s="5" t="s">
        <v>26</v>
      </c>
      <c r="K13" s="5" t="s">
        <v>40</v>
      </c>
      <c r="L13" s="5" t="s">
        <v>22</v>
      </c>
      <c r="M13" s="34">
        <v>44873</v>
      </c>
      <c r="N13" s="13">
        <v>1249.95</v>
      </c>
      <c r="O13" s="16">
        <f>DATEDIF(data[[#This Row],[Customer_Since]], data[[#This Row],[Date]], "D")</f>
        <v>749</v>
      </c>
      <c r="P13" s="5" t="str">
        <f>TEXT(data[[#This Row],[Date]], "mmm")</f>
        <v>Nov</v>
      </c>
      <c r="Q13" s="5">
        <f>ROUNDUP(MONTH(data[[#This Row],[Date]])/3,0)</f>
        <v>4</v>
      </c>
    </row>
    <row r="14" spans="1:19" x14ac:dyDescent="0.3">
      <c r="A14" s="4" t="s">
        <v>383</v>
      </c>
      <c r="B14" s="34">
        <v>45737</v>
      </c>
      <c r="C14" s="5" t="s">
        <v>48</v>
      </c>
      <c r="D14" s="5" t="s">
        <v>49</v>
      </c>
      <c r="E14" s="5" t="s">
        <v>61</v>
      </c>
      <c r="F14" s="5" t="s">
        <v>62</v>
      </c>
      <c r="G14" s="5" t="s">
        <v>19</v>
      </c>
      <c r="H14" s="5">
        <v>3</v>
      </c>
      <c r="I14" s="9">
        <v>899.99</v>
      </c>
      <c r="J14" s="5" t="s">
        <v>34</v>
      </c>
      <c r="K14" s="5" t="s">
        <v>40</v>
      </c>
      <c r="L14" s="5" t="s">
        <v>22</v>
      </c>
      <c r="M14" s="34">
        <v>44975</v>
      </c>
      <c r="N14" s="13">
        <v>2699.97</v>
      </c>
      <c r="O14" s="16">
        <f>DATEDIF(data[[#This Row],[Customer_Since]], data[[#This Row],[Date]], "D")</f>
        <v>762</v>
      </c>
      <c r="P14" s="5" t="str">
        <f>TEXT(data[[#This Row],[Date]], "mmm")</f>
        <v>Mar</v>
      </c>
      <c r="Q14" s="5">
        <f>ROUNDUP(MONTH(data[[#This Row],[Date]])/3,0)</f>
        <v>1</v>
      </c>
    </row>
    <row r="15" spans="1:19" x14ac:dyDescent="0.3">
      <c r="A15" s="4" t="s">
        <v>380</v>
      </c>
      <c r="B15" s="34">
        <v>45734</v>
      </c>
      <c r="C15" s="5" t="s">
        <v>192</v>
      </c>
      <c r="D15" s="5" t="s">
        <v>193</v>
      </c>
      <c r="E15" s="5" t="s">
        <v>31</v>
      </c>
      <c r="F15" s="5" t="s">
        <v>32</v>
      </c>
      <c r="G15" s="5" t="s">
        <v>33</v>
      </c>
      <c r="H15" s="5">
        <v>2</v>
      </c>
      <c r="I15" s="9">
        <v>59.99</v>
      </c>
      <c r="J15" s="5" t="s">
        <v>26</v>
      </c>
      <c r="K15" s="5" t="s">
        <v>50</v>
      </c>
      <c r="L15" s="5" t="s">
        <v>22</v>
      </c>
      <c r="M15" s="34">
        <v>45193</v>
      </c>
      <c r="N15" s="13">
        <v>119.98</v>
      </c>
      <c r="O15" s="16">
        <f>DATEDIF(data[[#This Row],[Customer_Since]], data[[#This Row],[Date]], "D")</f>
        <v>541</v>
      </c>
      <c r="P15" s="5" t="str">
        <f>TEXT(data[[#This Row],[Date]], "mmm")</f>
        <v>Mar</v>
      </c>
      <c r="Q15" s="5">
        <f>ROUNDUP(MONTH(data[[#This Row],[Date]])/3,0)</f>
        <v>1</v>
      </c>
    </row>
    <row r="16" spans="1:19" x14ac:dyDescent="0.3">
      <c r="A16" s="4" t="s">
        <v>140</v>
      </c>
      <c r="B16" s="34">
        <v>45440</v>
      </c>
      <c r="C16" s="5" t="s">
        <v>141</v>
      </c>
      <c r="D16" s="5" t="s">
        <v>142</v>
      </c>
      <c r="E16" s="5" t="s">
        <v>80</v>
      </c>
      <c r="F16" s="5" t="s">
        <v>81</v>
      </c>
      <c r="G16" s="5" t="s">
        <v>19</v>
      </c>
      <c r="H16" s="5">
        <v>5</v>
      </c>
      <c r="I16" s="9">
        <v>699.99</v>
      </c>
      <c r="J16" s="5" t="s">
        <v>34</v>
      </c>
      <c r="K16" s="5" t="s">
        <v>50</v>
      </c>
      <c r="L16" s="5" t="s">
        <v>36</v>
      </c>
      <c r="M16" s="34">
        <v>44407</v>
      </c>
      <c r="N16" s="13">
        <v>3499.95</v>
      </c>
      <c r="O16" s="16">
        <f>DATEDIF(data[[#This Row],[Customer_Since]], data[[#This Row],[Date]], "D")</f>
        <v>1033</v>
      </c>
      <c r="P16" s="5" t="str">
        <f>TEXT(data[[#This Row],[Date]], "mmm")</f>
        <v>May</v>
      </c>
      <c r="Q16" s="5">
        <f>ROUNDUP(MONTH(data[[#This Row],[Date]])/3,0)</f>
        <v>2</v>
      </c>
    </row>
    <row r="17" spans="1:17" x14ac:dyDescent="0.3">
      <c r="A17" s="4" t="s">
        <v>377</v>
      </c>
      <c r="B17" s="34">
        <v>45724</v>
      </c>
      <c r="C17" s="5" t="s">
        <v>144</v>
      </c>
      <c r="D17" s="5" t="s">
        <v>145</v>
      </c>
      <c r="E17" s="5" t="s">
        <v>61</v>
      </c>
      <c r="F17" s="5" t="s">
        <v>62</v>
      </c>
      <c r="G17" s="5" t="s">
        <v>19</v>
      </c>
      <c r="H17" s="5">
        <v>5</v>
      </c>
      <c r="I17" s="9">
        <v>899.99</v>
      </c>
      <c r="J17" s="5" t="s">
        <v>34</v>
      </c>
      <c r="K17" s="5" t="s">
        <v>63</v>
      </c>
      <c r="L17" s="5" t="s">
        <v>27</v>
      </c>
      <c r="M17" s="34">
        <v>45389</v>
      </c>
      <c r="N17" s="13">
        <v>4499.95</v>
      </c>
      <c r="O17" s="16">
        <f>DATEDIF(data[[#This Row],[Customer_Since]], data[[#This Row],[Date]], "D")</f>
        <v>335</v>
      </c>
      <c r="P17" s="5" t="str">
        <f>TEXT(data[[#This Row],[Date]], "mmm")</f>
        <v>Mar</v>
      </c>
      <c r="Q17" s="5">
        <f>ROUNDUP(MONTH(data[[#This Row],[Date]])/3,0)</f>
        <v>1</v>
      </c>
    </row>
    <row r="18" spans="1:17" x14ac:dyDescent="0.3">
      <c r="A18" s="4" t="s">
        <v>278</v>
      </c>
      <c r="B18" s="34">
        <v>45600</v>
      </c>
      <c r="C18" s="5" t="s">
        <v>65</v>
      </c>
      <c r="D18" s="5" t="s">
        <v>66</v>
      </c>
      <c r="E18" s="5" t="s">
        <v>105</v>
      </c>
      <c r="F18" s="5" t="s">
        <v>106</v>
      </c>
      <c r="G18" s="5" t="s">
        <v>46</v>
      </c>
      <c r="H18" s="5">
        <v>3</v>
      </c>
      <c r="I18" s="9">
        <v>299.99</v>
      </c>
      <c r="J18" s="5" t="s">
        <v>26</v>
      </c>
      <c r="K18" s="5" t="s">
        <v>35</v>
      </c>
      <c r="L18" s="5" t="s">
        <v>36</v>
      </c>
      <c r="M18" s="34">
        <v>44502</v>
      </c>
      <c r="N18" s="13">
        <v>899.97</v>
      </c>
      <c r="O18" s="16">
        <f>DATEDIF(data[[#This Row],[Customer_Since]], data[[#This Row],[Date]], "D")</f>
        <v>1098</v>
      </c>
      <c r="P18" s="5" t="str">
        <f>TEXT(data[[#This Row],[Date]], "mmm")</f>
        <v>Nov</v>
      </c>
      <c r="Q18" s="5">
        <f>ROUNDUP(MONTH(data[[#This Row],[Date]])/3,0)</f>
        <v>4</v>
      </c>
    </row>
    <row r="19" spans="1:17" x14ac:dyDescent="0.3">
      <c r="A19" s="4" t="s">
        <v>190</v>
      </c>
      <c r="B19" s="34">
        <v>45484</v>
      </c>
      <c r="C19" s="5" t="s">
        <v>24</v>
      </c>
      <c r="D19" s="5" t="s">
        <v>25</v>
      </c>
      <c r="E19" s="5" t="s">
        <v>52</v>
      </c>
      <c r="F19" s="5" t="s">
        <v>53</v>
      </c>
      <c r="G19" s="5" t="s">
        <v>19</v>
      </c>
      <c r="H19" s="5">
        <v>1</v>
      </c>
      <c r="I19" s="9">
        <v>149.99</v>
      </c>
      <c r="J19" s="5" t="s">
        <v>20</v>
      </c>
      <c r="K19" s="5" t="s">
        <v>21</v>
      </c>
      <c r="L19" s="5" t="s">
        <v>36</v>
      </c>
      <c r="M19" s="34">
        <v>44909</v>
      </c>
      <c r="N19" s="13">
        <v>149.99</v>
      </c>
      <c r="O19" s="16">
        <f>DATEDIF(data[[#This Row],[Customer_Since]], data[[#This Row],[Date]], "D")</f>
        <v>575</v>
      </c>
      <c r="P19" s="5" t="str">
        <f>TEXT(data[[#This Row],[Date]], "mmm")</f>
        <v>Jul</v>
      </c>
      <c r="Q19" s="5">
        <f>ROUNDUP(MONTH(data[[#This Row],[Date]])/3,0)</f>
        <v>3</v>
      </c>
    </row>
    <row r="20" spans="1:17" x14ac:dyDescent="0.3">
      <c r="A20" s="4" t="s">
        <v>384</v>
      </c>
      <c r="B20" s="34">
        <v>45739</v>
      </c>
      <c r="C20" s="5" t="s">
        <v>15</v>
      </c>
      <c r="D20" s="5" t="s">
        <v>16</v>
      </c>
      <c r="E20" s="5" t="s">
        <v>105</v>
      </c>
      <c r="F20" s="5" t="s">
        <v>106</v>
      </c>
      <c r="G20" s="5" t="s">
        <v>46</v>
      </c>
      <c r="H20" s="5">
        <v>3</v>
      </c>
      <c r="I20" s="9">
        <v>299.99</v>
      </c>
      <c r="J20" s="5" t="s">
        <v>26</v>
      </c>
      <c r="K20" s="5" t="s">
        <v>50</v>
      </c>
      <c r="L20" s="5" t="s">
        <v>27</v>
      </c>
      <c r="M20" s="34">
        <v>45234</v>
      </c>
      <c r="N20" s="13">
        <v>899.97</v>
      </c>
      <c r="O20" s="16">
        <f>DATEDIF(data[[#This Row],[Customer_Since]], data[[#This Row],[Date]], "D")</f>
        <v>505</v>
      </c>
      <c r="P20" s="5" t="str">
        <f>TEXT(data[[#This Row],[Date]], "mmm")</f>
        <v>Mar</v>
      </c>
      <c r="Q20" s="5">
        <f>ROUNDUP(MONTH(data[[#This Row],[Date]])/3,0)</f>
        <v>1</v>
      </c>
    </row>
    <row r="21" spans="1:17" x14ac:dyDescent="0.3">
      <c r="A21" s="4" t="s">
        <v>216</v>
      </c>
      <c r="B21" s="34">
        <v>45517</v>
      </c>
      <c r="C21" s="5" t="s">
        <v>182</v>
      </c>
      <c r="D21" s="5" t="s">
        <v>183</v>
      </c>
      <c r="E21" s="5" t="s">
        <v>52</v>
      </c>
      <c r="F21" s="5" t="s">
        <v>53</v>
      </c>
      <c r="G21" s="5" t="s">
        <v>19</v>
      </c>
      <c r="H21" s="5">
        <v>4</v>
      </c>
      <c r="I21" s="9">
        <v>149.99</v>
      </c>
      <c r="J21" s="5" t="s">
        <v>57</v>
      </c>
      <c r="K21" s="5" t="s">
        <v>35</v>
      </c>
      <c r="L21" s="5" t="s">
        <v>27</v>
      </c>
      <c r="M21" s="34">
        <v>44820</v>
      </c>
      <c r="N21" s="13">
        <v>599.96</v>
      </c>
      <c r="O21" s="16">
        <f>DATEDIF(data[[#This Row],[Customer_Since]], data[[#This Row],[Date]], "D")</f>
        <v>697</v>
      </c>
      <c r="P21" s="5" t="str">
        <f>TEXT(data[[#This Row],[Date]], "mmm")</f>
        <v>Aug</v>
      </c>
      <c r="Q21" s="5">
        <f>ROUNDUP(MONTH(data[[#This Row],[Date]])/3,0)</f>
        <v>3</v>
      </c>
    </row>
    <row r="22" spans="1:17" x14ac:dyDescent="0.3">
      <c r="A22" s="4" t="s">
        <v>136</v>
      </c>
      <c r="B22" s="34">
        <v>45435</v>
      </c>
      <c r="C22" s="5" t="s">
        <v>129</v>
      </c>
      <c r="D22" s="5" t="s">
        <v>130</v>
      </c>
      <c r="E22" s="5" t="s">
        <v>114</v>
      </c>
      <c r="F22" s="5" t="s">
        <v>115</v>
      </c>
      <c r="G22" s="5" t="s">
        <v>33</v>
      </c>
      <c r="H22" s="5">
        <v>3</v>
      </c>
      <c r="I22" s="9">
        <v>79.989999999999995</v>
      </c>
      <c r="J22" s="5" t="s">
        <v>20</v>
      </c>
      <c r="K22" s="5" t="s">
        <v>35</v>
      </c>
      <c r="L22" s="5" t="s">
        <v>22</v>
      </c>
      <c r="M22" s="34">
        <v>45046</v>
      </c>
      <c r="N22" s="13">
        <v>239.97</v>
      </c>
      <c r="O22" s="16">
        <f>DATEDIF(data[[#This Row],[Customer_Since]], data[[#This Row],[Date]], "D")</f>
        <v>389</v>
      </c>
      <c r="P22" s="5" t="str">
        <f>TEXT(data[[#This Row],[Date]], "mmm")</f>
        <v>May</v>
      </c>
      <c r="Q22" s="5">
        <f>ROUNDUP(MONTH(data[[#This Row],[Date]])/3,0)</f>
        <v>2</v>
      </c>
    </row>
    <row r="23" spans="1:17" x14ac:dyDescent="0.3">
      <c r="A23" s="4" t="s">
        <v>335</v>
      </c>
      <c r="B23" s="34">
        <v>45670</v>
      </c>
      <c r="C23" s="5" t="s">
        <v>86</v>
      </c>
      <c r="D23" s="5" t="s">
        <v>87</v>
      </c>
      <c r="E23" s="5" t="s">
        <v>105</v>
      </c>
      <c r="F23" s="5" t="s">
        <v>106</v>
      </c>
      <c r="G23" s="5" t="s">
        <v>46</v>
      </c>
      <c r="H23" s="5">
        <v>1</v>
      </c>
      <c r="I23" s="9">
        <v>299.99</v>
      </c>
      <c r="J23" s="5" t="s">
        <v>26</v>
      </c>
      <c r="K23" s="5" t="s">
        <v>40</v>
      </c>
      <c r="L23" s="5" t="s">
        <v>22</v>
      </c>
      <c r="M23" s="34">
        <v>44436</v>
      </c>
      <c r="N23" s="13">
        <v>299.99</v>
      </c>
      <c r="O23" s="16">
        <f>DATEDIF(data[[#This Row],[Customer_Since]], data[[#This Row],[Date]], "D")</f>
        <v>1234</v>
      </c>
      <c r="P23" s="5" t="str">
        <f>TEXT(data[[#This Row],[Date]], "mmm")</f>
        <v>Jan</v>
      </c>
      <c r="Q23" s="5">
        <f>ROUNDUP(MONTH(data[[#This Row],[Date]])/3,0)</f>
        <v>1</v>
      </c>
    </row>
    <row r="24" spans="1:17" x14ac:dyDescent="0.3">
      <c r="A24" s="4" t="s">
        <v>23</v>
      </c>
      <c r="B24" s="34">
        <v>45396</v>
      </c>
      <c r="C24" s="5" t="s">
        <v>24</v>
      </c>
      <c r="D24" s="5" t="s">
        <v>25</v>
      </c>
      <c r="E24" s="5" t="s">
        <v>17</v>
      </c>
      <c r="F24" s="5" t="s">
        <v>18</v>
      </c>
      <c r="G24" s="5" t="s">
        <v>19</v>
      </c>
      <c r="H24" s="5">
        <v>3</v>
      </c>
      <c r="I24" s="9">
        <v>249.99</v>
      </c>
      <c r="J24" s="5" t="s">
        <v>26</v>
      </c>
      <c r="K24" s="5" t="s">
        <v>21</v>
      </c>
      <c r="L24" s="5" t="s">
        <v>27</v>
      </c>
      <c r="M24" s="34">
        <v>44575</v>
      </c>
      <c r="N24" s="13">
        <v>749.97</v>
      </c>
      <c r="O24" s="16">
        <f>DATEDIF(data[[#This Row],[Customer_Since]], data[[#This Row],[Date]], "D")</f>
        <v>821</v>
      </c>
      <c r="P24" s="5" t="str">
        <f>TEXT(data[[#This Row],[Date]], "mmm")</f>
        <v>Apr</v>
      </c>
      <c r="Q24" s="5">
        <f>ROUNDUP(MONTH(data[[#This Row],[Date]])/3,0)</f>
        <v>2</v>
      </c>
    </row>
    <row r="25" spans="1:17" x14ac:dyDescent="0.3">
      <c r="A25" s="4" t="s">
        <v>352</v>
      </c>
      <c r="B25" s="34">
        <v>45695</v>
      </c>
      <c r="C25" s="5" t="s">
        <v>246</v>
      </c>
      <c r="D25" s="5" t="s">
        <v>247</v>
      </c>
      <c r="E25" s="5" t="s">
        <v>44</v>
      </c>
      <c r="F25" s="5" t="s">
        <v>45</v>
      </c>
      <c r="G25" s="5" t="s">
        <v>46</v>
      </c>
      <c r="H25" s="5">
        <v>3</v>
      </c>
      <c r="I25" s="9">
        <v>149.99</v>
      </c>
      <c r="J25" s="5" t="s">
        <v>57</v>
      </c>
      <c r="K25" s="5" t="s">
        <v>40</v>
      </c>
      <c r="L25" s="5" t="s">
        <v>27</v>
      </c>
      <c r="M25" s="34">
        <v>44564</v>
      </c>
      <c r="N25" s="13">
        <v>449.97</v>
      </c>
      <c r="O25" s="16">
        <f>DATEDIF(data[[#This Row],[Customer_Since]], data[[#This Row],[Date]], "D")</f>
        <v>1131</v>
      </c>
      <c r="P25" s="5" t="str">
        <f>TEXT(data[[#This Row],[Date]], "mmm")</f>
        <v>Feb</v>
      </c>
      <c r="Q25" s="5">
        <f>ROUNDUP(MONTH(data[[#This Row],[Date]])/3,0)</f>
        <v>1</v>
      </c>
    </row>
    <row r="26" spans="1:17" x14ac:dyDescent="0.3">
      <c r="A26" s="4" t="s">
        <v>170</v>
      </c>
      <c r="B26" s="34">
        <v>45468</v>
      </c>
      <c r="C26" s="5" t="s">
        <v>171</v>
      </c>
      <c r="D26" s="5" t="s">
        <v>172</v>
      </c>
      <c r="E26" s="5" t="s">
        <v>117</v>
      </c>
      <c r="F26" s="5" t="s">
        <v>118</v>
      </c>
      <c r="G26" s="5" t="s">
        <v>19</v>
      </c>
      <c r="H26" s="5">
        <v>4</v>
      </c>
      <c r="I26" s="9">
        <v>89.99</v>
      </c>
      <c r="J26" s="5" t="s">
        <v>57</v>
      </c>
      <c r="K26" s="5" t="s">
        <v>35</v>
      </c>
      <c r="L26" s="5" t="s">
        <v>22</v>
      </c>
      <c r="M26" s="34">
        <v>45281</v>
      </c>
      <c r="N26" s="13">
        <v>359.96</v>
      </c>
      <c r="O26" s="16">
        <f>DATEDIF(data[[#This Row],[Customer_Since]], data[[#This Row],[Date]], "D")</f>
        <v>187</v>
      </c>
      <c r="P26" s="5" t="str">
        <f>TEXT(data[[#This Row],[Date]], "mmm")</f>
        <v>Jun</v>
      </c>
      <c r="Q26" s="5">
        <f>ROUNDUP(MONTH(data[[#This Row],[Date]])/3,0)</f>
        <v>2</v>
      </c>
    </row>
    <row r="27" spans="1:17" x14ac:dyDescent="0.3">
      <c r="A27" s="4" t="s">
        <v>324</v>
      </c>
      <c r="B27" s="34">
        <v>45661</v>
      </c>
      <c r="C27" s="5" t="s">
        <v>325</v>
      </c>
      <c r="D27" s="5" t="s">
        <v>326</v>
      </c>
      <c r="E27" s="5" t="s">
        <v>61</v>
      </c>
      <c r="F27" s="5" t="s">
        <v>62</v>
      </c>
      <c r="G27" s="5" t="s">
        <v>19</v>
      </c>
      <c r="H27" s="5">
        <v>1</v>
      </c>
      <c r="I27" s="9">
        <v>899.99</v>
      </c>
      <c r="J27" s="5" t="s">
        <v>34</v>
      </c>
      <c r="K27" s="5" t="s">
        <v>40</v>
      </c>
      <c r="L27" s="5" t="s">
        <v>36</v>
      </c>
      <c r="M27" s="34">
        <v>44752</v>
      </c>
      <c r="N27" s="13">
        <v>899.99</v>
      </c>
      <c r="O27" s="16">
        <f>DATEDIF(data[[#This Row],[Customer_Since]], data[[#This Row],[Date]], "D")</f>
        <v>909</v>
      </c>
      <c r="P27" s="5" t="str">
        <f>TEXT(data[[#This Row],[Date]], "mmm")</f>
        <v>Jan</v>
      </c>
      <c r="Q27" s="5">
        <f>ROUNDUP(MONTH(data[[#This Row],[Date]])/3,0)</f>
        <v>1</v>
      </c>
    </row>
    <row r="28" spans="1:17" x14ac:dyDescent="0.3">
      <c r="A28" s="4" t="s">
        <v>220</v>
      </c>
      <c r="B28" s="34">
        <v>45519</v>
      </c>
      <c r="C28" s="5" t="s">
        <v>158</v>
      </c>
      <c r="D28" s="5" t="s">
        <v>159</v>
      </c>
      <c r="E28" s="5" t="s">
        <v>126</v>
      </c>
      <c r="F28" s="5" t="s">
        <v>127</v>
      </c>
      <c r="G28" s="5" t="s">
        <v>46</v>
      </c>
      <c r="H28" s="5">
        <v>5</v>
      </c>
      <c r="I28" s="9">
        <v>199.99</v>
      </c>
      <c r="J28" s="5" t="s">
        <v>20</v>
      </c>
      <c r="K28" s="5" t="s">
        <v>40</v>
      </c>
      <c r="L28" s="5" t="s">
        <v>27</v>
      </c>
      <c r="M28" s="34">
        <v>44991</v>
      </c>
      <c r="N28" s="13">
        <v>999.95</v>
      </c>
      <c r="O28" s="16">
        <f>DATEDIF(data[[#This Row],[Customer_Since]], data[[#This Row],[Date]], "D")</f>
        <v>528</v>
      </c>
      <c r="P28" s="5" t="str">
        <f>TEXT(data[[#This Row],[Date]], "mmm")</f>
        <v>Aug</v>
      </c>
      <c r="Q28" s="5">
        <f>ROUNDUP(MONTH(data[[#This Row],[Date]])/3,0)</f>
        <v>3</v>
      </c>
    </row>
    <row r="29" spans="1:17" x14ac:dyDescent="0.3">
      <c r="A29" s="4" t="s">
        <v>311</v>
      </c>
      <c r="B29" s="34">
        <v>45644</v>
      </c>
      <c r="C29" s="5" t="s">
        <v>132</v>
      </c>
      <c r="D29" s="5" t="s">
        <v>133</v>
      </c>
      <c r="E29" s="5" t="s">
        <v>31</v>
      </c>
      <c r="F29" s="5" t="s">
        <v>32</v>
      </c>
      <c r="G29" s="5" t="s">
        <v>33</v>
      </c>
      <c r="H29" s="5">
        <v>2</v>
      </c>
      <c r="I29" s="9">
        <v>59.99</v>
      </c>
      <c r="J29" s="5" t="s">
        <v>20</v>
      </c>
      <c r="K29" s="5" t="s">
        <v>50</v>
      </c>
      <c r="L29" s="5" t="s">
        <v>22</v>
      </c>
      <c r="M29" s="34">
        <v>45191</v>
      </c>
      <c r="N29" s="13">
        <v>119.98</v>
      </c>
      <c r="O29" s="16">
        <f>DATEDIF(data[[#This Row],[Customer_Since]], data[[#This Row],[Date]], "D")</f>
        <v>453</v>
      </c>
      <c r="P29" s="5" t="str">
        <f>TEXT(data[[#This Row],[Date]], "mmm")</f>
        <v>Dec</v>
      </c>
      <c r="Q29" s="5">
        <f>ROUNDUP(MONTH(data[[#This Row],[Date]])/3,0)</f>
        <v>4</v>
      </c>
    </row>
    <row r="30" spans="1:17" x14ac:dyDescent="0.3">
      <c r="A30" s="4" t="s">
        <v>125</v>
      </c>
      <c r="B30" s="34">
        <v>45427</v>
      </c>
      <c r="C30" s="5" t="s">
        <v>55</v>
      </c>
      <c r="D30" s="5" t="s">
        <v>56</v>
      </c>
      <c r="E30" s="5" t="s">
        <v>126</v>
      </c>
      <c r="F30" s="5" t="s">
        <v>127</v>
      </c>
      <c r="G30" s="5" t="s">
        <v>46</v>
      </c>
      <c r="H30" s="5">
        <v>5</v>
      </c>
      <c r="I30" s="9">
        <v>199.99</v>
      </c>
      <c r="J30" s="5" t="s">
        <v>20</v>
      </c>
      <c r="K30" s="5" t="s">
        <v>35</v>
      </c>
      <c r="L30" s="5" t="s">
        <v>36</v>
      </c>
      <c r="M30" s="34">
        <v>44412</v>
      </c>
      <c r="N30" s="13">
        <v>999.95</v>
      </c>
      <c r="O30" s="16">
        <f>DATEDIF(data[[#This Row],[Customer_Since]], data[[#This Row],[Date]], "D")</f>
        <v>1015</v>
      </c>
      <c r="P30" s="5" t="str">
        <f>TEXT(data[[#This Row],[Date]], "mmm")</f>
        <v>May</v>
      </c>
      <c r="Q30" s="5">
        <f>ROUNDUP(MONTH(data[[#This Row],[Date]])/3,0)</f>
        <v>2</v>
      </c>
    </row>
    <row r="31" spans="1:17" x14ac:dyDescent="0.3">
      <c r="A31" s="4" t="s">
        <v>345</v>
      </c>
      <c r="B31" s="34">
        <v>45686</v>
      </c>
      <c r="C31" s="5" t="s">
        <v>252</v>
      </c>
      <c r="D31" s="5" t="s">
        <v>253</v>
      </c>
      <c r="E31" s="5" t="s">
        <v>61</v>
      </c>
      <c r="F31" s="5" t="s">
        <v>62</v>
      </c>
      <c r="G31" s="5" t="s">
        <v>19</v>
      </c>
      <c r="H31" s="5">
        <v>4</v>
      </c>
      <c r="I31" s="9">
        <v>899.99</v>
      </c>
      <c r="J31" s="5" t="s">
        <v>34</v>
      </c>
      <c r="K31" s="5" t="s">
        <v>21</v>
      </c>
      <c r="L31" s="5" t="s">
        <v>22</v>
      </c>
      <c r="M31" s="34">
        <v>44734</v>
      </c>
      <c r="N31" s="13">
        <v>3599.96</v>
      </c>
      <c r="O31" s="16">
        <f>DATEDIF(data[[#This Row],[Customer_Since]], data[[#This Row],[Date]], "D")</f>
        <v>952</v>
      </c>
      <c r="P31" s="5" t="str">
        <f>TEXT(data[[#This Row],[Date]], "mmm")</f>
        <v>Jan</v>
      </c>
      <c r="Q31" s="5">
        <f>ROUNDUP(MONTH(data[[#This Row],[Date]])/3,0)</f>
        <v>1</v>
      </c>
    </row>
    <row r="32" spans="1:17" x14ac:dyDescent="0.3">
      <c r="A32" s="4" t="s">
        <v>223</v>
      </c>
      <c r="B32" s="34">
        <v>45523</v>
      </c>
      <c r="C32" s="5" t="s">
        <v>108</v>
      </c>
      <c r="D32" s="5" t="s">
        <v>109</v>
      </c>
      <c r="E32" s="5" t="s">
        <v>52</v>
      </c>
      <c r="F32" s="5" t="s">
        <v>53</v>
      </c>
      <c r="G32" s="5" t="s">
        <v>19</v>
      </c>
      <c r="H32" s="5">
        <v>3</v>
      </c>
      <c r="I32" s="9">
        <v>149.99</v>
      </c>
      <c r="J32" s="5" t="s">
        <v>34</v>
      </c>
      <c r="K32" s="5" t="s">
        <v>63</v>
      </c>
      <c r="L32" s="5" t="s">
        <v>22</v>
      </c>
      <c r="M32" s="34">
        <v>44574</v>
      </c>
      <c r="N32" s="13">
        <v>449.97</v>
      </c>
      <c r="O32" s="16">
        <f>DATEDIF(data[[#This Row],[Customer_Since]], data[[#This Row],[Date]], "D")</f>
        <v>949</v>
      </c>
      <c r="P32" s="5" t="str">
        <f>TEXT(data[[#This Row],[Date]], "mmm")</f>
        <v>Aug</v>
      </c>
      <c r="Q32" s="5">
        <f>ROUNDUP(MONTH(data[[#This Row],[Date]])/3,0)</f>
        <v>3</v>
      </c>
    </row>
    <row r="33" spans="1:17" x14ac:dyDescent="0.3">
      <c r="A33" s="4" t="s">
        <v>308</v>
      </c>
      <c r="B33" s="34">
        <v>45638</v>
      </c>
      <c r="C33" s="5" t="s">
        <v>72</v>
      </c>
      <c r="D33" s="5" t="s">
        <v>73</v>
      </c>
      <c r="E33" s="5" t="s">
        <v>61</v>
      </c>
      <c r="F33" s="5" t="s">
        <v>62</v>
      </c>
      <c r="G33" s="5" t="s">
        <v>19</v>
      </c>
      <c r="H33" s="5">
        <v>2</v>
      </c>
      <c r="I33" s="9">
        <v>899.99</v>
      </c>
      <c r="J33" s="5" t="s">
        <v>20</v>
      </c>
      <c r="K33" s="5" t="s">
        <v>40</v>
      </c>
      <c r="L33" s="5" t="s">
        <v>22</v>
      </c>
      <c r="M33" s="34">
        <v>44406</v>
      </c>
      <c r="N33" s="13">
        <v>1799.98</v>
      </c>
      <c r="O33" s="16">
        <f>DATEDIF(data[[#This Row],[Customer_Since]], data[[#This Row],[Date]], "D")</f>
        <v>1232</v>
      </c>
      <c r="P33" s="5" t="str">
        <f>TEXT(data[[#This Row],[Date]], "mmm")</f>
        <v>Dec</v>
      </c>
      <c r="Q33" s="5">
        <f>ROUNDUP(MONTH(data[[#This Row],[Date]])/3,0)</f>
        <v>4</v>
      </c>
    </row>
    <row r="34" spans="1:17" x14ac:dyDescent="0.3">
      <c r="A34" s="4" t="s">
        <v>288</v>
      </c>
      <c r="B34" s="34">
        <v>45613</v>
      </c>
      <c r="C34" s="5" t="s">
        <v>86</v>
      </c>
      <c r="D34" s="5" t="s">
        <v>87</v>
      </c>
      <c r="E34" s="5" t="s">
        <v>80</v>
      </c>
      <c r="F34" s="5" t="s">
        <v>81</v>
      </c>
      <c r="G34" s="5" t="s">
        <v>19</v>
      </c>
      <c r="H34" s="5">
        <v>2</v>
      </c>
      <c r="I34" s="9">
        <v>699.99</v>
      </c>
      <c r="J34" s="5" t="s">
        <v>34</v>
      </c>
      <c r="K34" s="5" t="s">
        <v>50</v>
      </c>
      <c r="L34" s="5" t="s">
        <v>36</v>
      </c>
      <c r="M34" s="34">
        <v>44770</v>
      </c>
      <c r="N34" s="13">
        <v>1399.98</v>
      </c>
      <c r="O34" s="16">
        <f>DATEDIF(data[[#This Row],[Customer_Since]], data[[#This Row],[Date]], "D")</f>
        <v>843</v>
      </c>
      <c r="P34" s="5" t="str">
        <f>TEXT(data[[#This Row],[Date]], "mmm")</f>
        <v>Nov</v>
      </c>
      <c r="Q34" s="5">
        <f>ROUNDUP(MONTH(data[[#This Row],[Date]])/3,0)</f>
        <v>4</v>
      </c>
    </row>
    <row r="35" spans="1:17" x14ac:dyDescent="0.3">
      <c r="A35" s="4" t="s">
        <v>269</v>
      </c>
      <c r="B35" s="34">
        <v>45581</v>
      </c>
      <c r="C35" s="5" t="s">
        <v>171</v>
      </c>
      <c r="D35" s="5" t="s">
        <v>172</v>
      </c>
      <c r="E35" s="5" t="s">
        <v>80</v>
      </c>
      <c r="F35" s="5" t="s">
        <v>81</v>
      </c>
      <c r="G35" s="5" t="s">
        <v>19</v>
      </c>
      <c r="H35" s="5">
        <v>4</v>
      </c>
      <c r="I35" s="9">
        <v>699.99</v>
      </c>
      <c r="J35" s="5" t="s">
        <v>26</v>
      </c>
      <c r="K35" s="5" t="s">
        <v>21</v>
      </c>
      <c r="L35" s="5" t="s">
        <v>22</v>
      </c>
      <c r="M35" s="34">
        <v>45385</v>
      </c>
      <c r="N35" s="13">
        <v>2799.96</v>
      </c>
      <c r="O35" s="16">
        <f>DATEDIF(data[[#This Row],[Customer_Since]], data[[#This Row],[Date]], "D")</f>
        <v>196</v>
      </c>
      <c r="P35" s="5" t="str">
        <f>TEXT(data[[#This Row],[Date]], "mmm")</f>
        <v>Oct</v>
      </c>
      <c r="Q35" s="5">
        <f>ROUNDUP(MONTH(data[[#This Row],[Date]])/3,0)</f>
        <v>4</v>
      </c>
    </row>
    <row r="36" spans="1:17" x14ac:dyDescent="0.3">
      <c r="A36" s="4" t="s">
        <v>282</v>
      </c>
      <c r="B36" s="34">
        <v>45607</v>
      </c>
      <c r="C36" s="5" t="s">
        <v>72</v>
      </c>
      <c r="D36" s="5" t="s">
        <v>73</v>
      </c>
      <c r="E36" s="5" t="s">
        <v>52</v>
      </c>
      <c r="F36" s="5" t="s">
        <v>53</v>
      </c>
      <c r="G36" s="5" t="s">
        <v>19</v>
      </c>
      <c r="H36" s="5">
        <v>3</v>
      </c>
      <c r="I36" s="9">
        <v>149.99</v>
      </c>
      <c r="J36" s="5" t="s">
        <v>20</v>
      </c>
      <c r="K36" s="5" t="s">
        <v>40</v>
      </c>
      <c r="L36" s="5" t="s">
        <v>22</v>
      </c>
      <c r="M36" s="34">
        <v>44769</v>
      </c>
      <c r="N36" s="13">
        <v>449.97</v>
      </c>
      <c r="O36" s="16">
        <f>DATEDIF(data[[#This Row],[Customer_Since]], data[[#This Row],[Date]], "D")</f>
        <v>838</v>
      </c>
      <c r="P36" s="5" t="str">
        <f>TEXT(data[[#This Row],[Date]], "mmm")</f>
        <v>Nov</v>
      </c>
      <c r="Q36" s="5">
        <f>ROUNDUP(MONTH(data[[#This Row],[Date]])/3,0)</f>
        <v>4</v>
      </c>
    </row>
    <row r="37" spans="1:17" x14ac:dyDescent="0.3">
      <c r="A37" s="4" t="s">
        <v>306</v>
      </c>
      <c r="B37" s="34">
        <v>45635</v>
      </c>
      <c r="C37" s="5" t="s">
        <v>141</v>
      </c>
      <c r="D37" s="5" t="s">
        <v>142</v>
      </c>
      <c r="E37" s="5" t="s">
        <v>114</v>
      </c>
      <c r="F37" s="5" t="s">
        <v>115</v>
      </c>
      <c r="G37" s="5" t="s">
        <v>33</v>
      </c>
      <c r="H37" s="5">
        <v>4</v>
      </c>
      <c r="I37" s="9">
        <v>79.989999999999995</v>
      </c>
      <c r="J37" s="5" t="s">
        <v>57</v>
      </c>
      <c r="K37" s="5" t="s">
        <v>63</v>
      </c>
      <c r="L37" s="5" t="s">
        <v>36</v>
      </c>
      <c r="M37" s="34">
        <v>44921</v>
      </c>
      <c r="N37" s="13">
        <v>319.95999999999998</v>
      </c>
      <c r="O37" s="16">
        <f>DATEDIF(data[[#This Row],[Customer_Since]], data[[#This Row],[Date]], "D")</f>
        <v>714</v>
      </c>
      <c r="P37" s="5" t="str">
        <f>TEXT(data[[#This Row],[Date]], "mmm")</f>
        <v>Dec</v>
      </c>
      <c r="Q37" s="5">
        <f>ROUNDUP(MONTH(data[[#This Row],[Date]])/3,0)</f>
        <v>4</v>
      </c>
    </row>
    <row r="38" spans="1:17" x14ac:dyDescent="0.3">
      <c r="A38" s="4" t="s">
        <v>228</v>
      </c>
      <c r="B38" s="34">
        <v>45528</v>
      </c>
      <c r="C38" s="5" t="s">
        <v>144</v>
      </c>
      <c r="D38" s="5" t="s">
        <v>145</v>
      </c>
      <c r="E38" s="5" t="s">
        <v>17</v>
      </c>
      <c r="F38" s="5" t="s">
        <v>18</v>
      </c>
      <c r="G38" s="5" t="s">
        <v>19</v>
      </c>
      <c r="H38" s="5">
        <v>2</v>
      </c>
      <c r="I38" s="9">
        <v>249.99</v>
      </c>
      <c r="J38" s="5" t="s">
        <v>20</v>
      </c>
      <c r="K38" s="5" t="s">
        <v>35</v>
      </c>
      <c r="L38" s="5" t="s">
        <v>36</v>
      </c>
      <c r="M38" s="34">
        <v>44572</v>
      </c>
      <c r="N38" s="13">
        <v>499.98</v>
      </c>
      <c r="O38" s="16">
        <f>DATEDIF(data[[#This Row],[Customer_Since]], data[[#This Row],[Date]], "D")</f>
        <v>956</v>
      </c>
      <c r="P38" s="5" t="str">
        <f>TEXT(data[[#This Row],[Date]], "mmm")</f>
        <v>Aug</v>
      </c>
      <c r="Q38" s="5">
        <f>ROUNDUP(MONTH(data[[#This Row],[Date]])/3,0)</f>
        <v>3</v>
      </c>
    </row>
    <row r="39" spans="1:17" x14ac:dyDescent="0.3">
      <c r="A39" s="4" t="s">
        <v>379</v>
      </c>
      <c r="B39" s="34">
        <v>45726</v>
      </c>
      <c r="C39" s="5" t="s">
        <v>144</v>
      </c>
      <c r="D39" s="5" t="s">
        <v>145</v>
      </c>
      <c r="E39" s="5" t="s">
        <v>17</v>
      </c>
      <c r="F39" s="5" t="s">
        <v>18</v>
      </c>
      <c r="G39" s="5" t="s">
        <v>19</v>
      </c>
      <c r="H39" s="5">
        <v>1</v>
      </c>
      <c r="I39" s="9">
        <v>249.99</v>
      </c>
      <c r="J39" s="5" t="s">
        <v>20</v>
      </c>
      <c r="K39" s="5" t="s">
        <v>40</v>
      </c>
      <c r="L39" s="5" t="s">
        <v>36</v>
      </c>
      <c r="M39" s="34">
        <v>45117</v>
      </c>
      <c r="N39" s="13">
        <v>249.99</v>
      </c>
      <c r="O39" s="16">
        <f>DATEDIF(data[[#This Row],[Customer_Since]], data[[#This Row],[Date]], "D")</f>
        <v>609</v>
      </c>
      <c r="P39" s="5" t="str">
        <f>TEXT(data[[#This Row],[Date]], "mmm")</f>
        <v>Mar</v>
      </c>
      <c r="Q39" s="5">
        <f>ROUNDUP(MONTH(data[[#This Row],[Date]])/3,0)</f>
        <v>1</v>
      </c>
    </row>
    <row r="40" spans="1:17" x14ac:dyDescent="0.3">
      <c r="A40" s="4" t="s">
        <v>394</v>
      </c>
      <c r="B40" s="34">
        <v>45755</v>
      </c>
      <c r="C40" s="5" t="s">
        <v>93</v>
      </c>
      <c r="D40" s="5" t="s">
        <v>94</v>
      </c>
      <c r="E40" s="5" t="s">
        <v>114</v>
      </c>
      <c r="F40" s="5" t="s">
        <v>115</v>
      </c>
      <c r="G40" s="5" t="s">
        <v>33</v>
      </c>
      <c r="H40" s="5">
        <v>3</v>
      </c>
      <c r="I40" s="9">
        <v>79.989999999999995</v>
      </c>
      <c r="J40" s="5" t="s">
        <v>26</v>
      </c>
      <c r="K40" s="5" t="s">
        <v>40</v>
      </c>
      <c r="L40" s="5" t="s">
        <v>22</v>
      </c>
      <c r="M40" s="34">
        <v>44511</v>
      </c>
      <c r="N40" s="13">
        <v>239.97</v>
      </c>
      <c r="O40" s="16">
        <f>DATEDIF(data[[#This Row],[Customer_Since]], data[[#This Row],[Date]], "D")</f>
        <v>1244</v>
      </c>
      <c r="P40" s="5" t="str">
        <f>TEXT(data[[#This Row],[Date]], "mmm")</f>
        <v>Apr</v>
      </c>
      <c r="Q40" s="5">
        <f>ROUNDUP(MONTH(data[[#This Row],[Date]])/3,0)</f>
        <v>2</v>
      </c>
    </row>
    <row r="41" spans="1:17" x14ac:dyDescent="0.3">
      <c r="A41" s="4" t="s">
        <v>110</v>
      </c>
      <c r="B41" s="34">
        <v>45424</v>
      </c>
      <c r="C41" s="5" t="s">
        <v>68</v>
      </c>
      <c r="D41" s="5" t="s">
        <v>69</v>
      </c>
      <c r="E41" s="5" t="s">
        <v>105</v>
      </c>
      <c r="F41" s="5" t="s">
        <v>106</v>
      </c>
      <c r="G41" s="5" t="s">
        <v>46</v>
      </c>
      <c r="H41" s="5">
        <v>5</v>
      </c>
      <c r="I41" s="9">
        <v>299.99</v>
      </c>
      <c r="J41" s="5" t="s">
        <v>34</v>
      </c>
      <c r="K41" s="5" t="s">
        <v>63</v>
      </c>
      <c r="L41" s="5" t="s">
        <v>22</v>
      </c>
      <c r="M41" s="34">
        <v>45168</v>
      </c>
      <c r="N41" s="13">
        <v>1499.95</v>
      </c>
      <c r="O41" s="16">
        <f>DATEDIF(data[[#This Row],[Customer_Since]], data[[#This Row],[Date]], "D")</f>
        <v>256</v>
      </c>
      <c r="P41" s="5" t="str">
        <f>TEXT(data[[#This Row],[Date]], "mmm")</f>
        <v>May</v>
      </c>
      <c r="Q41" s="5">
        <f>ROUNDUP(MONTH(data[[#This Row],[Date]])/3,0)</f>
        <v>2</v>
      </c>
    </row>
    <row r="42" spans="1:17" x14ac:dyDescent="0.3">
      <c r="A42" s="4" t="s">
        <v>134</v>
      </c>
      <c r="B42" s="34">
        <v>45432</v>
      </c>
      <c r="C42" s="5" t="s">
        <v>29</v>
      </c>
      <c r="D42" s="5" t="s">
        <v>30</v>
      </c>
      <c r="E42" s="5" t="s">
        <v>61</v>
      </c>
      <c r="F42" s="5" t="s">
        <v>62</v>
      </c>
      <c r="G42" s="5" t="s">
        <v>19</v>
      </c>
      <c r="H42" s="5">
        <v>1</v>
      </c>
      <c r="I42" s="9">
        <v>899.99</v>
      </c>
      <c r="J42" s="5" t="s">
        <v>26</v>
      </c>
      <c r="K42" s="5" t="s">
        <v>50</v>
      </c>
      <c r="L42" s="5" t="s">
        <v>27</v>
      </c>
      <c r="M42" s="34">
        <v>44578</v>
      </c>
      <c r="N42" s="13">
        <v>899.99</v>
      </c>
      <c r="O42" s="16">
        <f>DATEDIF(data[[#This Row],[Customer_Since]], data[[#This Row],[Date]], "D")</f>
        <v>854</v>
      </c>
      <c r="P42" s="5" t="str">
        <f>TEXT(data[[#This Row],[Date]], "mmm")</f>
        <v>May</v>
      </c>
      <c r="Q42" s="5">
        <f>ROUNDUP(MONTH(data[[#This Row],[Date]])/3,0)</f>
        <v>2</v>
      </c>
    </row>
    <row r="43" spans="1:17" x14ac:dyDescent="0.3">
      <c r="A43" s="4" t="s">
        <v>146</v>
      </c>
      <c r="B43" s="34">
        <v>45443</v>
      </c>
      <c r="C43" s="5" t="s">
        <v>147</v>
      </c>
      <c r="D43" s="5" t="s">
        <v>148</v>
      </c>
      <c r="E43" s="5" t="s">
        <v>114</v>
      </c>
      <c r="F43" s="5" t="s">
        <v>115</v>
      </c>
      <c r="G43" s="5" t="s">
        <v>33</v>
      </c>
      <c r="H43" s="5">
        <v>1</v>
      </c>
      <c r="I43" s="9">
        <v>79.989999999999995</v>
      </c>
      <c r="J43" s="5" t="s">
        <v>20</v>
      </c>
      <c r="K43" s="5" t="s">
        <v>40</v>
      </c>
      <c r="L43" s="5" t="s">
        <v>36</v>
      </c>
      <c r="M43" s="34">
        <v>44917</v>
      </c>
      <c r="N43" s="13">
        <v>79.989999999999995</v>
      </c>
      <c r="O43" s="16">
        <f>DATEDIF(data[[#This Row],[Customer_Since]], data[[#This Row],[Date]], "D")</f>
        <v>526</v>
      </c>
      <c r="P43" s="5" t="str">
        <f>TEXT(data[[#This Row],[Date]], "mmm")</f>
        <v>May</v>
      </c>
      <c r="Q43" s="5">
        <f>ROUNDUP(MONTH(data[[#This Row],[Date]])/3,0)</f>
        <v>2</v>
      </c>
    </row>
    <row r="44" spans="1:17" x14ac:dyDescent="0.3">
      <c r="A44" s="4" t="s">
        <v>37</v>
      </c>
      <c r="B44" s="34">
        <v>45400</v>
      </c>
      <c r="C44" s="5" t="s">
        <v>38</v>
      </c>
      <c r="D44" s="5" t="s">
        <v>39</v>
      </c>
      <c r="E44" s="5" t="s">
        <v>31</v>
      </c>
      <c r="F44" s="5" t="s">
        <v>32</v>
      </c>
      <c r="G44" s="5" t="s">
        <v>33</v>
      </c>
      <c r="H44" s="5">
        <v>3</v>
      </c>
      <c r="I44" s="9">
        <v>59.99</v>
      </c>
      <c r="J44" s="5" t="s">
        <v>20</v>
      </c>
      <c r="K44" s="5" t="s">
        <v>40</v>
      </c>
      <c r="L44" s="5" t="s">
        <v>27</v>
      </c>
      <c r="M44" s="34">
        <v>45114</v>
      </c>
      <c r="N44" s="13">
        <v>179.97</v>
      </c>
      <c r="O44" s="16">
        <f>DATEDIF(data[[#This Row],[Customer_Since]], data[[#This Row],[Date]], "D")</f>
        <v>286</v>
      </c>
      <c r="P44" s="5" t="str">
        <f>TEXT(data[[#This Row],[Date]], "mmm")</f>
        <v>Apr</v>
      </c>
      <c r="Q44" s="5">
        <f>ROUNDUP(MONTH(data[[#This Row],[Date]])/3,0)</f>
        <v>2</v>
      </c>
    </row>
    <row r="45" spans="1:17" x14ac:dyDescent="0.3">
      <c r="A45" s="4" t="s">
        <v>167</v>
      </c>
      <c r="B45" s="34">
        <v>45459</v>
      </c>
      <c r="C45" s="5" t="s">
        <v>123</v>
      </c>
      <c r="D45" s="5" t="s">
        <v>124</v>
      </c>
      <c r="E45" s="5" t="s">
        <v>61</v>
      </c>
      <c r="F45" s="5" t="s">
        <v>62</v>
      </c>
      <c r="G45" s="5" t="s">
        <v>19</v>
      </c>
      <c r="H45" s="5">
        <v>5</v>
      </c>
      <c r="I45" s="9">
        <v>899.99</v>
      </c>
      <c r="J45" s="5" t="s">
        <v>34</v>
      </c>
      <c r="K45" s="5" t="s">
        <v>63</v>
      </c>
      <c r="L45" s="5" t="s">
        <v>27</v>
      </c>
      <c r="M45" s="34">
        <v>45278</v>
      </c>
      <c r="N45" s="13">
        <v>4499.95</v>
      </c>
      <c r="O45" s="16">
        <f>DATEDIF(data[[#This Row],[Customer_Since]], data[[#This Row],[Date]], "D")</f>
        <v>181</v>
      </c>
      <c r="P45" s="5" t="str">
        <f>TEXT(data[[#This Row],[Date]], "mmm")</f>
        <v>Jun</v>
      </c>
      <c r="Q45" s="5">
        <f>ROUNDUP(MONTH(data[[#This Row],[Date]])/3,0)</f>
        <v>2</v>
      </c>
    </row>
    <row r="46" spans="1:17" x14ac:dyDescent="0.3">
      <c r="A46" s="4" t="s">
        <v>296</v>
      </c>
      <c r="B46" s="34">
        <v>45627</v>
      </c>
      <c r="C46" s="5" t="s">
        <v>29</v>
      </c>
      <c r="D46" s="5" t="s">
        <v>30</v>
      </c>
      <c r="E46" s="5" t="s">
        <v>105</v>
      </c>
      <c r="F46" s="5" t="s">
        <v>106</v>
      </c>
      <c r="G46" s="5" t="s">
        <v>46</v>
      </c>
      <c r="H46" s="5">
        <v>3</v>
      </c>
      <c r="I46" s="9">
        <v>299.99</v>
      </c>
      <c r="J46" s="5" t="s">
        <v>20</v>
      </c>
      <c r="K46" s="5" t="s">
        <v>35</v>
      </c>
      <c r="L46" s="5" t="s">
        <v>27</v>
      </c>
      <c r="M46" s="34">
        <v>44659</v>
      </c>
      <c r="N46" s="13">
        <v>899.97</v>
      </c>
      <c r="O46" s="16">
        <f>DATEDIF(data[[#This Row],[Customer_Since]], data[[#This Row],[Date]], "D")</f>
        <v>968</v>
      </c>
      <c r="P46" s="5" t="str">
        <f>TEXT(data[[#This Row],[Date]], "mmm")</f>
        <v>Dec</v>
      </c>
      <c r="Q46" s="5">
        <f>ROUNDUP(MONTH(data[[#This Row],[Date]])/3,0)</f>
        <v>4</v>
      </c>
    </row>
    <row r="47" spans="1:17" x14ac:dyDescent="0.3">
      <c r="A47" s="4" t="s">
        <v>314</v>
      </c>
      <c r="B47" s="34">
        <v>45646</v>
      </c>
      <c r="C47" s="5" t="s">
        <v>42</v>
      </c>
      <c r="D47" s="5" t="s">
        <v>43</v>
      </c>
      <c r="E47" s="5" t="s">
        <v>44</v>
      </c>
      <c r="F47" s="5" t="s">
        <v>45</v>
      </c>
      <c r="G47" s="5" t="s">
        <v>46</v>
      </c>
      <c r="H47" s="5">
        <v>2</v>
      </c>
      <c r="I47" s="9">
        <v>149.99</v>
      </c>
      <c r="J47" s="5" t="s">
        <v>20</v>
      </c>
      <c r="K47" s="5" t="s">
        <v>35</v>
      </c>
      <c r="L47" s="5" t="s">
        <v>22</v>
      </c>
      <c r="M47" s="34">
        <v>45239</v>
      </c>
      <c r="N47" s="13">
        <v>299.98</v>
      </c>
      <c r="O47" s="16">
        <f>DATEDIF(data[[#This Row],[Customer_Since]], data[[#This Row],[Date]], "D")</f>
        <v>407</v>
      </c>
      <c r="P47" s="5" t="str">
        <f>TEXT(data[[#This Row],[Date]], "mmm")</f>
        <v>Dec</v>
      </c>
      <c r="Q47" s="5">
        <f>ROUNDUP(MONTH(data[[#This Row],[Date]])/3,0)</f>
        <v>4</v>
      </c>
    </row>
    <row r="48" spans="1:17" x14ac:dyDescent="0.3">
      <c r="A48" s="4" t="s">
        <v>365</v>
      </c>
      <c r="B48" s="34">
        <v>45711</v>
      </c>
      <c r="C48" s="5" t="s">
        <v>246</v>
      </c>
      <c r="D48" s="5" t="s">
        <v>247</v>
      </c>
      <c r="E48" s="5" t="s">
        <v>80</v>
      </c>
      <c r="F48" s="5" t="s">
        <v>81</v>
      </c>
      <c r="G48" s="5" t="s">
        <v>19</v>
      </c>
      <c r="H48" s="5">
        <v>1</v>
      </c>
      <c r="I48" s="9">
        <v>699.99</v>
      </c>
      <c r="J48" s="5" t="s">
        <v>20</v>
      </c>
      <c r="K48" s="5" t="s">
        <v>40</v>
      </c>
      <c r="L48" s="5" t="s">
        <v>27</v>
      </c>
      <c r="M48" s="34">
        <v>44583</v>
      </c>
      <c r="N48" s="13">
        <v>699.99</v>
      </c>
      <c r="O48" s="16">
        <f>DATEDIF(data[[#This Row],[Customer_Since]], data[[#This Row],[Date]], "D")</f>
        <v>1128</v>
      </c>
      <c r="P48" s="5" t="str">
        <f>TEXT(data[[#This Row],[Date]], "mmm")</f>
        <v>Feb</v>
      </c>
      <c r="Q48" s="5">
        <f>ROUNDUP(MONTH(data[[#This Row],[Date]])/3,0)</f>
        <v>1</v>
      </c>
    </row>
    <row r="49" spans="1:17" x14ac:dyDescent="0.3">
      <c r="A49" s="4" t="s">
        <v>370</v>
      </c>
      <c r="B49" s="34">
        <v>45715</v>
      </c>
      <c r="C49" s="5" t="s">
        <v>93</v>
      </c>
      <c r="D49" s="5" t="s">
        <v>94</v>
      </c>
      <c r="E49" s="5" t="s">
        <v>105</v>
      </c>
      <c r="F49" s="5" t="s">
        <v>106</v>
      </c>
      <c r="G49" s="5" t="s">
        <v>46</v>
      </c>
      <c r="H49" s="5">
        <v>2</v>
      </c>
      <c r="I49" s="9">
        <v>299.99</v>
      </c>
      <c r="J49" s="5" t="s">
        <v>34</v>
      </c>
      <c r="K49" s="5" t="s">
        <v>35</v>
      </c>
      <c r="L49" s="5" t="s">
        <v>22</v>
      </c>
      <c r="M49" s="34">
        <v>44576</v>
      </c>
      <c r="N49" s="13">
        <v>599.98</v>
      </c>
      <c r="O49" s="16">
        <f>DATEDIF(data[[#This Row],[Customer_Since]], data[[#This Row],[Date]], "D")</f>
        <v>1139</v>
      </c>
      <c r="P49" s="5" t="str">
        <f>TEXT(data[[#This Row],[Date]], "mmm")</f>
        <v>Feb</v>
      </c>
      <c r="Q49" s="5">
        <f>ROUNDUP(MONTH(data[[#This Row],[Date]])/3,0)</f>
        <v>1</v>
      </c>
    </row>
    <row r="50" spans="1:17" x14ac:dyDescent="0.3">
      <c r="A50" s="4" t="s">
        <v>85</v>
      </c>
      <c r="B50" s="34">
        <v>45410</v>
      </c>
      <c r="C50" s="5" t="s">
        <v>86</v>
      </c>
      <c r="D50" s="5" t="s">
        <v>87</v>
      </c>
      <c r="E50" s="5" t="s">
        <v>44</v>
      </c>
      <c r="F50" s="5" t="s">
        <v>45</v>
      </c>
      <c r="G50" s="5" t="s">
        <v>46</v>
      </c>
      <c r="H50" s="5">
        <v>4</v>
      </c>
      <c r="I50" s="9">
        <v>149.99</v>
      </c>
      <c r="J50" s="5" t="s">
        <v>57</v>
      </c>
      <c r="K50" s="5" t="s">
        <v>40</v>
      </c>
      <c r="L50" s="5" t="s">
        <v>27</v>
      </c>
      <c r="M50" s="34">
        <v>45374</v>
      </c>
      <c r="N50" s="13">
        <v>599.96</v>
      </c>
      <c r="O50" s="16">
        <f>DATEDIF(data[[#This Row],[Customer_Since]], data[[#This Row],[Date]], "D")</f>
        <v>36</v>
      </c>
      <c r="P50" s="5" t="str">
        <f>TEXT(data[[#This Row],[Date]], "mmm")</f>
        <v>Apr</v>
      </c>
      <c r="Q50" s="5">
        <f>ROUNDUP(MONTH(data[[#This Row],[Date]])/3,0)</f>
        <v>2</v>
      </c>
    </row>
    <row r="51" spans="1:17" x14ac:dyDescent="0.3">
      <c r="A51" s="4" t="s">
        <v>385</v>
      </c>
      <c r="B51" s="34">
        <v>45740</v>
      </c>
      <c r="C51" s="5" t="s">
        <v>386</v>
      </c>
      <c r="D51" s="5" t="s">
        <v>387</v>
      </c>
      <c r="E51" s="5" t="s">
        <v>44</v>
      </c>
      <c r="F51" s="5" t="s">
        <v>45</v>
      </c>
      <c r="G51" s="5" t="s">
        <v>46</v>
      </c>
      <c r="H51" s="5">
        <v>4</v>
      </c>
      <c r="I51" s="9">
        <v>149.99</v>
      </c>
      <c r="J51" s="5" t="s">
        <v>34</v>
      </c>
      <c r="K51" s="5" t="s">
        <v>50</v>
      </c>
      <c r="L51" s="5" t="s">
        <v>36</v>
      </c>
      <c r="M51" s="34">
        <v>44560</v>
      </c>
      <c r="N51" s="13">
        <v>599.96</v>
      </c>
      <c r="O51" s="16">
        <f>DATEDIF(data[[#This Row],[Customer_Since]], data[[#This Row],[Date]], "D")</f>
        <v>1180</v>
      </c>
      <c r="P51" s="5" t="str">
        <f>TEXT(data[[#This Row],[Date]], "mmm")</f>
        <v>Mar</v>
      </c>
      <c r="Q51" s="5">
        <f>ROUNDUP(MONTH(data[[#This Row],[Date]])/3,0)</f>
        <v>1</v>
      </c>
    </row>
    <row r="52" spans="1:17" x14ac:dyDescent="0.3">
      <c r="A52" s="4" t="s">
        <v>338</v>
      </c>
      <c r="B52" s="34">
        <v>45671</v>
      </c>
      <c r="C52" s="5" t="s">
        <v>234</v>
      </c>
      <c r="D52" s="5" t="s">
        <v>235</v>
      </c>
      <c r="E52" s="5" t="s">
        <v>105</v>
      </c>
      <c r="F52" s="5" t="s">
        <v>106</v>
      </c>
      <c r="G52" s="5" t="s">
        <v>46</v>
      </c>
      <c r="H52" s="5">
        <v>3</v>
      </c>
      <c r="I52" s="9">
        <v>299.99</v>
      </c>
      <c r="J52" s="5" t="s">
        <v>26</v>
      </c>
      <c r="K52" s="5" t="s">
        <v>35</v>
      </c>
      <c r="L52" s="5" t="s">
        <v>22</v>
      </c>
      <c r="M52" s="34">
        <v>45204</v>
      </c>
      <c r="N52" s="13">
        <v>899.97</v>
      </c>
      <c r="O52" s="16">
        <f>DATEDIF(data[[#This Row],[Customer_Since]], data[[#This Row],[Date]], "D")</f>
        <v>467</v>
      </c>
      <c r="P52" s="5" t="str">
        <f>TEXT(data[[#This Row],[Date]], "mmm")</f>
        <v>Jan</v>
      </c>
      <c r="Q52" s="5">
        <f>ROUNDUP(MONTH(data[[#This Row],[Date]])/3,0)</f>
        <v>1</v>
      </c>
    </row>
    <row r="53" spans="1:17" x14ac:dyDescent="0.3">
      <c r="A53" s="4" t="s">
        <v>180</v>
      </c>
      <c r="B53" s="34">
        <v>45476</v>
      </c>
      <c r="C53" s="5" t="s">
        <v>68</v>
      </c>
      <c r="D53" s="5" t="s">
        <v>69</v>
      </c>
      <c r="E53" s="5" t="s">
        <v>117</v>
      </c>
      <c r="F53" s="5" t="s">
        <v>118</v>
      </c>
      <c r="G53" s="5" t="s">
        <v>19</v>
      </c>
      <c r="H53" s="5">
        <v>1</v>
      </c>
      <c r="I53" s="9">
        <v>89.99</v>
      </c>
      <c r="J53" s="5" t="s">
        <v>20</v>
      </c>
      <c r="K53" s="5" t="s">
        <v>35</v>
      </c>
      <c r="L53" s="5" t="s">
        <v>36</v>
      </c>
      <c r="M53" s="34">
        <v>44611</v>
      </c>
      <c r="N53" s="13">
        <v>89.99</v>
      </c>
      <c r="O53" s="16">
        <f>DATEDIF(data[[#This Row],[Customer_Since]], data[[#This Row],[Date]], "D")</f>
        <v>865</v>
      </c>
      <c r="P53" s="5" t="str">
        <f>TEXT(data[[#This Row],[Date]], "mmm")</f>
        <v>Jul</v>
      </c>
      <c r="Q53" s="5">
        <f>ROUNDUP(MONTH(data[[#This Row],[Date]])/3,0)</f>
        <v>3</v>
      </c>
    </row>
    <row r="54" spans="1:17" x14ac:dyDescent="0.3">
      <c r="A54" s="4" t="s">
        <v>373</v>
      </c>
      <c r="B54" s="34">
        <v>45721</v>
      </c>
      <c r="C54" s="5" t="s">
        <v>75</v>
      </c>
      <c r="D54" s="5" t="s">
        <v>76</v>
      </c>
      <c r="E54" s="5" t="s">
        <v>31</v>
      </c>
      <c r="F54" s="5" t="s">
        <v>32</v>
      </c>
      <c r="G54" s="5" t="s">
        <v>33</v>
      </c>
      <c r="H54" s="5">
        <v>5</v>
      </c>
      <c r="I54" s="9">
        <v>59.99</v>
      </c>
      <c r="J54" s="5" t="s">
        <v>20</v>
      </c>
      <c r="K54" s="5" t="s">
        <v>50</v>
      </c>
      <c r="L54" s="5" t="s">
        <v>27</v>
      </c>
      <c r="M54" s="34">
        <v>45291</v>
      </c>
      <c r="N54" s="13">
        <v>299.95</v>
      </c>
      <c r="O54" s="16">
        <f>DATEDIF(data[[#This Row],[Customer_Since]], data[[#This Row],[Date]], "D")</f>
        <v>430</v>
      </c>
      <c r="P54" s="5" t="str">
        <f>TEXT(data[[#This Row],[Date]], "mmm")</f>
        <v>Mar</v>
      </c>
      <c r="Q54" s="5">
        <f>ROUNDUP(MONTH(data[[#This Row],[Date]])/3,0)</f>
        <v>1</v>
      </c>
    </row>
    <row r="55" spans="1:17" x14ac:dyDescent="0.3">
      <c r="A55" s="4" t="s">
        <v>249</v>
      </c>
      <c r="B55" s="34">
        <v>45551</v>
      </c>
      <c r="C55" s="5" t="s">
        <v>154</v>
      </c>
      <c r="D55" s="5" t="s">
        <v>155</v>
      </c>
      <c r="E55" s="5" t="s">
        <v>126</v>
      </c>
      <c r="F55" s="5" t="s">
        <v>127</v>
      </c>
      <c r="G55" s="5" t="s">
        <v>46</v>
      </c>
      <c r="H55" s="5">
        <v>4</v>
      </c>
      <c r="I55" s="9">
        <v>199.99</v>
      </c>
      <c r="J55" s="5" t="s">
        <v>57</v>
      </c>
      <c r="K55" s="5" t="s">
        <v>63</v>
      </c>
      <c r="L55" s="5" t="s">
        <v>22</v>
      </c>
      <c r="M55" s="34">
        <v>44458</v>
      </c>
      <c r="N55" s="13">
        <v>799.96</v>
      </c>
      <c r="O55" s="16">
        <f>DATEDIF(data[[#This Row],[Customer_Since]], data[[#This Row],[Date]], "D")</f>
        <v>1093</v>
      </c>
      <c r="P55" s="5" t="str">
        <f>TEXT(data[[#This Row],[Date]], "mmm")</f>
        <v>Sep</v>
      </c>
      <c r="Q55" s="5">
        <f>ROUNDUP(MONTH(data[[#This Row],[Date]])/3,0)</f>
        <v>3</v>
      </c>
    </row>
    <row r="56" spans="1:17" x14ac:dyDescent="0.3">
      <c r="A56" s="4" t="s">
        <v>264</v>
      </c>
      <c r="B56" s="34">
        <v>45573</v>
      </c>
      <c r="C56" s="5" t="s">
        <v>211</v>
      </c>
      <c r="D56" s="5" t="s">
        <v>212</v>
      </c>
      <c r="E56" s="5" t="s">
        <v>80</v>
      </c>
      <c r="F56" s="5" t="s">
        <v>81</v>
      </c>
      <c r="G56" s="5" t="s">
        <v>19</v>
      </c>
      <c r="H56" s="5">
        <v>2</v>
      </c>
      <c r="I56" s="9">
        <v>699.99</v>
      </c>
      <c r="J56" s="5" t="s">
        <v>57</v>
      </c>
      <c r="K56" s="5" t="s">
        <v>63</v>
      </c>
      <c r="L56" s="5" t="s">
        <v>27</v>
      </c>
      <c r="M56" s="34">
        <v>45274</v>
      </c>
      <c r="N56" s="13">
        <v>1399.98</v>
      </c>
      <c r="O56" s="16">
        <f>DATEDIF(data[[#This Row],[Customer_Since]], data[[#This Row],[Date]], "D")</f>
        <v>299</v>
      </c>
      <c r="P56" s="5" t="str">
        <f>TEXT(data[[#This Row],[Date]], "mmm")</f>
        <v>Oct</v>
      </c>
      <c r="Q56" s="5">
        <f>ROUNDUP(MONTH(data[[#This Row],[Date]])/3,0)</f>
        <v>4</v>
      </c>
    </row>
    <row r="57" spans="1:17" x14ac:dyDescent="0.3">
      <c r="A57" s="4" t="s">
        <v>323</v>
      </c>
      <c r="B57" s="34">
        <v>45660</v>
      </c>
      <c r="C57" s="5" t="s">
        <v>147</v>
      </c>
      <c r="D57" s="5" t="s">
        <v>148</v>
      </c>
      <c r="E57" s="5" t="s">
        <v>117</v>
      </c>
      <c r="F57" s="5" t="s">
        <v>118</v>
      </c>
      <c r="G57" s="5" t="s">
        <v>19</v>
      </c>
      <c r="H57" s="5">
        <v>2</v>
      </c>
      <c r="I57" s="9">
        <v>89.99</v>
      </c>
      <c r="J57" s="5" t="s">
        <v>26</v>
      </c>
      <c r="K57" s="5" t="s">
        <v>35</v>
      </c>
      <c r="L57" s="5" t="s">
        <v>27</v>
      </c>
      <c r="M57" s="34">
        <v>44564</v>
      </c>
      <c r="N57" s="13">
        <v>179.98</v>
      </c>
      <c r="O57" s="16">
        <f>DATEDIF(data[[#This Row],[Customer_Since]], data[[#This Row],[Date]], "D")</f>
        <v>1096</v>
      </c>
      <c r="P57" s="5" t="str">
        <f>TEXT(data[[#This Row],[Date]], "mmm")</f>
        <v>Jan</v>
      </c>
      <c r="Q57" s="5">
        <f>ROUNDUP(MONTH(data[[#This Row],[Date]])/3,0)</f>
        <v>1</v>
      </c>
    </row>
    <row r="58" spans="1:17" x14ac:dyDescent="0.3">
      <c r="A58" s="4" t="s">
        <v>277</v>
      </c>
      <c r="B58" s="34">
        <v>45597</v>
      </c>
      <c r="C58" s="5" t="s">
        <v>15</v>
      </c>
      <c r="D58" s="5" t="s">
        <v>16</v>
      </c>
      <c r="E58" s="5" t="s">
        <v>17</v>
      </c>
      <c r="F58" s="5" t="s">
        <v>18</v>
      </c>
      <c r="G58" s="5" t="s">
        <v>19</v>
      </c>
      <c r="H58" s="5">
        <v>5</v>
      </c>
      <c r="I58" s="9">
        <v>249.99</v>
      </c>
      <c r="J58" s="5" t="s">
        <v>26</v>
      </c>
      <c r="K58" s="5" t="s">
        <v>35</v>
      </c>
      <c r="L58" s="5" t="s">
        <v>36</v>
      </c>
      <c r="M58" s="34">
        <v>44881</v>
      </c>
      <c r="N58" s="13">
        <v>1249.95</v>
      </c>
      <c r="O58" s="16">
        <f>DATEDIF(data[[#This Row],[Customer_Since]], data[[#This Row],[Date]], "D")</f>
        <v>716</v>
      </c>
      <c r="P58" s="5" t="str">
        <f>TEXT(data[[#This Row],[Date]], "mmm")</f>
        <v>Nov</v>
      </c>
      <c r="Q58" s="5">
        <f>ROUNDUP(MONTH(data[[#This Row],[Date]])/3,0)</f>
        <v>4</v>
      </c>
    </row>
    <row r="59" spans="1:17" x14ac:dyDescent="0.3">
      <c r="A59" s="4" t="s">
        <v>229</v>
      </c>
      <c r="B59" s="34">
        <v>45532</v>
      </c>
      <c r="C59" s="5" t="s">
        <v>196</v>
      </c>
      <c r="D59" s="5" t="s">
        <v>197</v>
      </c>
      <c r="E59" s="5" t="s">
        <v>80</v>
      </c>
      <c r="F59" s="5" t="s">
        <v>81</v>
      </c>
      <c r="G59" s="5" t="s">
        <v>19</v>
      </c>
      <c r="H59" s="5">
        <v>1</v>
      </c>
      <c r="I59" s="9">
        <v>699.99</v>
      </c>
      <c r="J59" s="5" t="s">
        <v>20</v>
      </c>
      <c r="K59" s="5" t="s">
        <v>21</v>
      </c>
      <c r="L59" s="5" t="s">
        <v>27</v>
      </c>
      <c r="M59" s="34">
        <v>44497</v>
      </c>
      <c r="N59" s="13">
        <v>699.99</v>
      </c>
      <c r="O59" s="16">
        <f>DATEDIF(data[[#This Row],[Customer_Since]], data[[#This Row],[Date]], "D")</f>
        <v>1035</v>
      </c>
      <c r="P59" s="5" t="str">
        <f>TEXT(data[[#This Row],[Date]], "mmm")</f>
        <v>Aug</v>
      </c>
      <c r="Q59" s="5">
        <f>ROUNDUP(MONTH(data[[#This Row],[Date]])/3,0)</f>
        <v>3</v>
      </c>
    </row>
    <row r="60" spans="1:17" x14ac:dyDescent="0.3">
      <c r="A60" s="4" t="s">
        <v>340</v>
      </c>
      <c r="B60" s="34">
        <v>45673</v>
      </c>
      <c r="C60" s="5" t="s">
        <v>211</v>
      </c>
      <c r="D60" s="5" t="s">
        <v>212</v>
      </c>
      <c r="E60" s="5" t="s">
        <v>105</v>
      </c>
      <c r="F60" s="5" t="s">
        <v>106</v>
      </c>
      <c r="G60" s="5" t="s">
        <v>46</v>
      </c>
      <c r="H60" s="5">
        <v>5</v>
      </c>
      <c r="I60" s="9">
        <v>299.99</v>
      </c>
      <c r="J60" s="5" t="s">
        <v>57</v>
      </c>
      <c r="K60" s="5" t="s">
        <v>21</v>
      </c>
      <c r="L60" s="5" t="s">
        <v>22</v>
      </c>
      <c r="M60" s="34">
        <v>44431</v>
      </c>
      <c r="N60" s="13">
        <v>1499.95</v>
      </c>
      <c r="O60" s="16">
        <f>DATEDIF(data[[#This Row],[Customer_Since]], data[[#This Row],[Date]], "D")</f>
        <v>1242</v>
      </c>
      <c r="P60" s="5" t="str">
        <f>TEXT(data[[#This Row],[Date]], "mmm")</f>
        <v>Jan</v>
      </c>
      <c r="Q60" s="5">
        <f>ROUNDUP(MONTH(data[[#This Row],[Date]])/3,0)</f>
        <v>1</v>
      </c>
    </row>
    <row r="61" spans="1:17" x14ac:dyDescent="0.3">
      <c r="A61" s="4" t="s">
        <v>279</v>
      </c>
      <c r="B61" s="34">
        <v>45603</v>
      </c>
      <c r="C61" s="5" t="s">
        <v>99</v>
      </c>
      <c r="D61" s="5" t="s">
        <v>100</v>
      </c>
      <c r="E61" s="5" t="s">
        <v>117</v>
      </c>
      <c r="F61" s="5" t="s">
        <v>118</v>
      </c>
      <c r="G61" s="5" t="s">
        <v>19</v>
      </c>
      <c r="H61" s="5">
        <v>3</v>
      </c>
      <c r="I61" s="9">
        <v>89.99</v>
      </c>
      <c r="J61" s="5" t="s">
        <v>26</v>
      </c>
      <c r="K61" s="5" t="s">
        <v>40</v>
      </c>
      <c r="L61" s="5" t="s">
        <v>27</v>
      </c>
      <c r="M61" s="34">
        <v>44420</v>
      </c>
      <c r="N61" s="13">
        <v>269.97000000000003</v>
      </c>
      <c r="O61" s="16">
        <f>DATEDIF(data[[#This Row],[Customer_Since]], data[[#This Row],[Date]], "D")</f>
        <v>1183</v>
      </c>
      <c r="P61" s="5" t="str">
        <f>TEXT(data[[#This Row],[Date]], "mmm")</f>
        <v>Nov</v>
      </c>
      <c r="Q61" s="5">
        <f>ROUNDUP(MONTH(data[[#This Row],[Date]])/3,0)</f>
        <v>4</v>
      </c>
    </row>
    <row r="62" spans="1:17" x14ac:dyDescent="0.3">
      <c r="A62" s="4" t="s">
        <v>168</v>
      </c>
      <c r="B62" s="34">
        <v>45460</v>
      </c>
      <c r="C62" s="5" t="s">
        <v>158</v>
      </c>
      <c r="D62" s="5" t="s">
        <v>159</v>
      </c>
      <c r="E62" s="5" t="s">
        <v>31</v>
      </c>
      <c r="F62" s="5" t="s">
        <v>32</v>
      </c>
      <c r="G62" s="5" t="s">
        <v>33</v>
      </c>
      <c r="H62" s="5">
        <v>1</v>
      </c>
      <c r="I62" s="9">
        <v>59.99</v>
      </c>
      <c r="J62" s="5" t="s">
        <v>57</v>
      </c>
      <c r="K62" s="5" t="s">
        <v>50</v>
      </c>
      <c r="L62" s="5" t="s">
        <v>27</v>
      </c>
      <c r="M62" s="34">
        <v>45190</v>
      </c>
      <c r="N62" s="13">
        <v>59.99</v>
      </c>
      <c r="O62" s="16">
        <f>DATEDIF(data[[#This Row],[Customer_Since]], data[[#This Row],[Date]], "D")</f>
        <v>270</v>
      </c>
      <c r="P62" s="5" t="str">
        <f>TEXT(data[[#This Row],[Date]], "mmm")</f>
        <v>Jun</v>
      </c>
      <c r="Q62" s="5">
        <f>ROUNDUP(MONTH(data[[#This Row],[Date]])/3,0)</f>
        <v>2</v>
      </c>
    </row>
    <row r="63" spans="1:17" x14ac:dyDescent="0.3">
      <c r="A63" s="4" t="s">
        <v>367</v>
      </c>
      <c r="B63" s="34">
        <v>45711</v>
      </c>
      <c r="C63" s="5" t="s">
        <v>211</v>
      </c>
      <c r="D63" s="5" t="s">
        <v>212</v>
      </c>
      <c r="E63" s="5" t="s">
        <v>117</v>
      </c>
      <c r="F63" s="5" t="s">
        <v>118</v>
      </c>
      <c r="G63" s="5" t="s">
        <v>19</v>
      </c>
      <c r="H63" s="5">
        <v>5</v>
      </c>
      <c r="I63" s="9">
        <v>89.99</v>
      </c>
      <c r="J63" s="5" t="s">
        <v>34</v>
      </c>
      <c r="K63" s="5" t="s">
        <v>50</v>
      </c>
      <c r="L63" s="5" t="s">
        <v>27</v>
      </c>
      <c r="M63" s="34">
        <v>45140</v>
      </c>
      <c r="N63" s="13">
        <v>449.95</v>
      </c>
      <c r="O63" s="16">
        <f>DATEDIF(data[[#This Row],[Customer_Since]], data[[#This Row],[Date]], "D")</f>
        <v>571</v>
      </c>
      <c r="P63" s="5" t="str">
        <f>TEXT(data[[#This Row],[Date]], "mmm")</f>
        <v>Feb</v>
      </c>
      <c r="Q63" s="5">
        <f>ROUNDUP(MONTH(data[[#This Row],[Date]])/3,0)</f>
        <v>1</v>
      </c>
    </row>
    <row r="64" spans="1:17" x14ac:dyDescent="0.3">
      <c r="A64" s="4" t="s">
        <v>119</v>
      </c>
      <c r="B64" s="34">
        <v>45425</v>
      </c>
      <c r="C64" s="5" t="s">
        <v>120</v>
      </c>
      <c r="D64" s="5" t="s">
        <v>121</v>
      </c>
      <c r="E64" s="5" t="s">
        <v>31</v>
      </c>
      <c r="F64" s="5" t="s">
        <v>32</v>
      </c>
      <c r="G64" s="5" t="s">
        <v>33</v>
      </c>
      <c r="H64" s="5">
        <v>2</v>
      </c>
      <c r="I64" s="9">
        <v>59.99</v>
      </c>
      <c r="J64" s="5" t="s">
        <v>57</v>
      </c>
      <c r="K64" s="5" t="s">
        <v>21</v>
      </c>
      <c r="L64" s="5" t="s">
        <v>36</v>
      </c>
      <c r="M64" s="34">
        <v>45214</v>
      </c>
      <c r="N64" s="13">
        <v>119.98</v>
      </c>
      <c r="O64" s="16">
        <f>DATEDIF(data[[#This Row],[Customer_Since]], data[[#This Row],[Date]], "D")</f>
        <v>211</v>
      </c>
      <c r="P64" s="5" t="str">
        <f>TEXT(data[[#This Row],[Date]], "mmm")</f>
        <v>May</v>
      </c>
      <c r="Q64" s="5">
        <f>ROUNDUP(MONTH(data[[#This Row],[Date]])/3,0)</f>
        <v>2</v>
      </c>
    </row>
    <row r="65" spans="1:17" x14ac:dyDescent="0.3">
      <c r="A65" s="4" t="s">
        <v>398</v>
      </c>
      <c r="B65" s="34">
        <v>45758</v>
      </c>
      <c r="C65" s="5" t="s">
        <v>138</v>
      </c>
      <c r="D65" s="5" t="s">
        <v>139</v>
      </c>
      <c r="E65" s="5" t="s">
        <v>117</v>
      </c>
      <c r="F65" s="5" t="s">
        <v>118</v>
      </c>
      <c r="G65" s="5" t="s">
        <v>19</v>
      </c>
      <c r="H65" s="5">
        <v>3</v>
      </c>
      <c r="I65" s="9">
        <v>89.99</v>
      </c>
      <c r="J65" s="5" t="s">
        <v>57</v>
      </c>
      <c r="K65" s="5" t="s">
        <v>40</v>
      </c>
      <c r="L65" s="5" t="s">
        <v>27</v>
      </c>
      <c r="M65" s="34">
        <v>44878</v>
      </c>
      <c r="N65" s="13">
        <v>269.97000000000003</v>
      </c>
      <c r="O65" s="16">
        <f>DATEDIF(data[[#This Row],[Customer_Since]], data[[#This Row],[Date]], "D")</f>
        <v>880</v>
      </c>
      <c r="P65" s="5" t="str">
        <f>TEXT(data[[#This Row],[Date]], "mmm")</f>
        <v>Apr</v>
      </c>
      <c r="Q65" s="5">
        <f>ROUNDUP(MONTH(data[[#This Row],[Date]])/3,0)</f>
        <v>2</v>
      </c>
    </row>
    <row r="66" spans="1:17" x14ac:dyDescent="0.3">
      <c r="A66" s="4" t="s">
        <v>210</v>
      </c>
      <c r="B66" s="34">
        <v>45509</v>
      </c>
      <c r="C66" s="5" t="s">
        <v>211</v>
      </c>
      <c r="D66" s="5" t="s">
        <v>212</v>
      </c>
      <c r="E66" s="5" t="s">
        <v>44</v>
      </c>
      <c r="F66" s="5" t="s">
        <v>45</v>
      </c>
      <c r="G66" s="5" t="s">
        <v>46</v>
      </c>
      <c r="H66" s="5">
        <v>2</v>
      </c>
      <c r="I66" s="9">
        <v>149.99</v>
      </c>
      <c r="J66" s="5" t="s">
        <v>26</v>
      </c>
      <c r="K66" s="5" t="s">
        <v>50</v>
      </c>
      <c r="L66" s="5" t="s">
        <v>22</v>
      </c>
      <c r="M66" s="34">
        <v>44542</v>
      </c>
      <c r="N66" s="13">
        <v>299.98</v>
      </c>
      <c r="O66" s="16">
        <f>DATEDIF(data[[#This Row],[Customer_Since]], data[[#This Row],[Date]], "D")</f>
        <v>967</v>
      </c>
      <c r="P66" s="5" t="str">
        <f>TEXT(data[[#This Row],[Date]], "mmm")</f>
        <v>Aug</v>
      </c>
      <c r="Q66" s="5">
        <f>ROUNDUP(MONTH(data[[#This Row],[Date]])/3,0)</f>
        <v>3</v>
      </c>
    </row>
    <row r="67" spans="1:17" x14ac:dyDescent="0.3">
      <c r="A67" s="4" t="s">
        <v>301</v>
      </c>
      <c r="B67" s="34">
        <v>45630</v>
      </c>
      <c r="C67" s="5" t="s">
        <v>48</v>
      </c>
      <c r="D67" s="5" t="s">
        <v>49</v>
      </c>
      <c r="E67" s="5" t="s">
        <v>80</v>
      </c>
      <c r="F67" s="5" t="s">
        <v>81</v>
      </c>
      <c r="G67" s="5" t="s">
        <v>19</v>
      </c>
      <c r="H67" s="5">
        <v>4</v>
      </c>
      <c r="I67" s="9">
        <v>699.99</v>
      </c>
      <c r="J67" s="5" t="s">
        <v>26</v>
      </c>
      <c r="K67" s="5" t="s">
        <v>40</v>
      </c>
      <c r="L67" s="5" t="s">
        <v>27</v>
      </c>
      <c r="M67" s="34">
        <v>44703</v>
      </c>
      <c r="N67" s="13">
        <v>2799.96</v>
      </c>
      <c r="O67" s="16">
        <f>DATEDIF(data[[#This Row],[Customer_Since]], data[[#This Row],[Date]], "D")</f>
        <v>927</v>
      </c>
      <c r="P67" s="5" t="str">
        <f>TEXT(data[[#This Row],[Date]], "mmm")</f>
        <v>Dec</v>
      </c>
      <c r="Q67" s="5">
        <f>ROUNDUP(MONTH(data[[#This Row],[Date]])/3,0)</f>
        <v>4</v>
      </c>
    </row>
    <row r="68" spans="1:17" x14ac:dyDescent="0.3">
      <c r="A68" s="4" t="s">
        <v>74</v>
      </c>
      <c r="B68" s="34">
        <v>45409</v>
      </c>
      <c r="C68" s="5" t="s">
        <v>75</v>
      </c>
      <c r="D68" s="5" t="s">
        <v>76</v>
      </c>
      <c r="E68" s="5" t="s">
        <v>31</v>
      </c>
      <c r="F68" s="5" t="s">
        <v>32</v>
      </c>
      <c r="G68" s="5" t="s">
        <v>33</v>
      </c>
      <c r="H68" s="5">
        <v>3</v>
      </c>
      <c r="I68" s="9">
        <v>59.99</v>
      </c>
      <c r="J68" s="5" t="s">
        <v>26</v>
      </c>
      <c r="K68" s="5" t="s">
        <v>40</v>
      </c>
      <c r="L68" s="5" t="s">
        <v>36</v>
      </c>
      <c r="M68" s="34">
        <v>45351</v>
      </c>
      <c r="N68" s="13">
        <v>179.97</v>
      </c>
      <c r="O68" s="16">
        <f>DATEDIF(data[[#This Row],[Customer_Since]], data[[#This Row],[Date]], "D")</f>
        <v>58</v>
      </c>
      <c r="P68" s="5" t="str">
        <f>TEXT(data[[#This Row],[Date]], "mmm")</f>
        <v>Apr</v>
      </c>
      <c r="Q68" s="5">
        <f>ROUNDUP(MONTH(data[[#This Row],[Date]])/3,0)</f>
        <v>2</v>
      </c>
    </row>
    <row r="69" spans="1:17" x14ac:dyDescent="0.3">
      <c r="A69" s="4" t="s">
        <v>392</v>
      </c>
      <c r="B69" s="34">
        <v>45748</v>
      </c>
      <c r="C69" s="5" t="s">
        <v>102</v>
      </c>
      <c r="D69" s="5" t="s">
        <v>103</v>
      </c>
      <c r="E69" s="5" t="s">
        <v>80</v>
      </c>
      <c r="F69" s="5" t="s">
        <v>81</v>
      </c>
      <c r="G69" s="5" t="s">
        <v>19</v>
      </c>
      <c r="H69" s="5">
        <v>2</v>
      </c>
      <c r="I69" s="9">
        <v>699.99</v>
      </c>
      <c r="J69" s="5" t="s">
        <v>34</v>
      </c>
      <c r="K69" s="5" t="s">
        <v>40</v>
      </c>
      <c r="L69" s="5" t="s">
        <v>36</v>
      </c>
      <c r="M69" s="34">
        <v>44618</v>
      </c>
      <c r="N69" s="13">
        <v>1399.98</v>
      </c>
      <c r="O69" s="16">
        <f>DATEDIF(data[[#This Row],[Customer_Since]], data[[#This Row],[Date]], "D")</f>
        <v>1130</v>
      </c>
      <c r="P69" s="5" t="str">
        <f>TEXT(data[[#This Row],[Date]], "mmm")</f>
        <v>Apr</v>
      </c>
      <c r="Q69" s="5">
        <f>ROUNDUP(MONTH(data[[#This Row],[Date]])/3,0)</f>
        <v>2</v>
      </c>
    </row>
    <row r="70" spans="1:17" x14ac:dyDescent="0.3">
      <c r="A70" s="4" t="s">
        <v>349</v>
      </c>
      <c r="B70" s="34">
        <v>45688</v>
      </c>
      <c r="C70" s="5" t="s">
        <v>123</v>
      </c>
      <c r="D70" s="5" t="s">
        <v>124</v>
      </c>
      <c r="E70" s="5" t="s">
        <v>117</v>
      </c>
      <c r="F70" s="5" t="s">
        <v>118</v>
      </c>
      <c r="G70" s="5" t="s">
        <v>19</v>
      </c>
      <c r="H70" s="5">
        <v>2</v>
      </c>
      <c r="I70" s="9">
        <v>89.99</v>
      </c>
      <c r="J70" s="5" t="s">
        <v>57</v>
      </c>
      <c r="K70" s="5" t="s">
        <v>35</v>
      </c>
      <c r="L70" s="5" t="s">
        <v>22</v>
      </c>
      <c r="M70" s="34">
        <v>44777</v>
      </c>
      <c r="N70" s="13">
        <v>179.98</v>
      </c>
      <c r="O70" s="16">
        <f>DATEDIF(data[[#This Row],[Customer_Since]], data[[#This Row],[Date]], "D")</f>
        <v>911</v>
      </c>
      <c r="P70" s="5" t="str">
        <f>TEXT(data[[#This Row],[Date]], "mmm")</f>
        <v>Jan</v>
      </c>
      <c r="Q70" s="5">
        <f>ROUNDUP(MONTH(data[[#This Row],[Date]])/3,0)</f>
        <v>1</v>
      </c>
    </row>
    <row r="71" spans="1:17" x14ac:dyDescent="0.3">
      <c r="A71" s="4" t="s">
        <v>181</v>
      </c>
      <c r="B71" s="34">
        <v>45476</v>
      </c>
      <c r="C71" s="5" t="s">
        <v>182</v>
      </c>
      <c r="D71" s="5" t="s">
        <v>183</v>
      </c>
      <c r="E71" s="5" t="s">
        <v>114</v>
      </c>
      <c r="F71" s="5" t="s">
        <v>115</v>
      </c>
      <c r="G71" s="5" t="s">
        <v>33</v>
      </c>
      <c r="H71" s="5">
        <v>5</v>
      </c>
      <c r="I71" s="9">
        <v>79.989999999999995</v>
      </c>
      <c r="J71" s="5" t="s">
        <v>57</v>
      </c>
      <c r="K71" s="5" t="s">
        <v>21</v>
      </c>
      <c r="L71" s="5" t="s">
        <v>22</v>
      </c>
      <c r="M71" s="34">
        <v>44981</v>
      </c>
      <c r="N71" s="13">
        <v>399.95</v>
      </c>
      <c r="O71" s="16">
        <f>DATEDIF(data[[#This Row],[Customer_Since]], data[[#This Row],[Date]], "D")</f>
        <v>495</v>
      </c>
      <c r="P71" s="5" t="str">
        <f>TEXT(data[[#This Row],[Date]], "mmm")</f>
        <v>Jul</v>
      </c>
      <c r="Q71" s="5">
        <f>ROUNDUP(MONTH(data[[#This Row],[Date]])/3,0)</f>
        <v>3</v>
      </c>
    </row>
    <row r="72" spans="1:17" x14ac:dyDescent="0.3">
      <c r="A72" s="4" t="s">
        <v>107</v>
      </c>
      <c r="B72" s="34">
        <v>45422</v>
      </c>
      <c r="C72" s="5" t="s">
        <v>108</v>
      </c>
      <c r="D72" s="5" t="s">
        <v>109</v>
      </c>
      <c r="E72" s="5" t="s">
        <v>17</v>
      </c>
      <c r="F72" s="5" t="s">
        <v>18</v>
      </c>
      <c r="G72" s="5" t="s">
        <v>19</v>
      </c>
      <c r="H72" s="5">
        <v>5</v>
      </c>
      <c r="I72" s="9">
        <v>249.99</v>
      </c>
      <c r="J72" s="5" t="s">
        <v>26</v>
      </c>
      <c r="K72" s="5" t="s">
        <v>50</v>
      </c>
      <c r="L72" s="5" t="s">
        <v>36</v>
      </c>
      <c r="M72" s="34">
        <v>44525</v>
      </c>
      <c r="N72" s="13">
        <v>1249.95</v>
      </c>
      <c r="O72" s="16">
        <f>DATEDIF(data[[#This Row],[Customer_Since]], data[[#This Row],[Date]], "D")</f>
        <v>897</v>
      </c>
      <c r="P72" s="5" t="str">
        <f>TEXT(data[[#This Row],[Date]], "mmm")</f>
        <v>May</v>
      </c>
      <c r="Q72" s="5">
        <f>ROUNDUP(MONTH(data[[#This Row],[Date]])/3,0)</f>
        <v>2</v>
      </c>
    </row>
    <row r="73" spans="1:17" x14ac:dyDescent="0.3">
      <c r="A73" s="4" t="s">
        <v>341</v>
      </c>
      <c r="B73" s="34">
        <v>45673</v>
      </c>
      <c r="C73" s="5" t="s">
        <v>59</v>
      </c>
      <c r="D73" s="5" t="s">
        <v>60</v>
      </c>
      <c r="E73" s="5" t="s">
        <v>44</v>
      </c>
      <c r="F73" s="5" t="s">
        <v>45</v>
      </c>
      <c r="G73" s="5" t="s">
        <v>46</v>
      </c>
      <c r="H73" s="5">
        <v>3</v>
      </c>
      <c r="I73" s="9">
        <v>149.99</v>
      </c>
      <c r="J73" s="5" t="s">
        <v>26</v>
      </c>
      <c r="K73" s="5" t="s">
        <v>63</v>
      </c>
      <c r="L73" s="5" t="s">
        <v>36</v>
      </c>
      <c r="M73" s="34">
        <v>44395</v>
      </c>
      <c r="N73" s="13">
        <v>449.97</v>
      </c>
      <c r="O73" s="16">
        <f>DATEDIF(data[[#This Row],[Customer_Since]], data[[#This Row],[Date]], "D")</f>
        <v>1278</v>
      </c>
      <c r="P73" s="5" t="str">
        <f>TEXT(data[[#This Row],[Date]], "mmm")</f>
        <v>Jan</v>
      </c>
      <c r="Q73" s="5">
        <f>ROUNDUP(MONTH(data[[#This Row],[Date]])/3,0)</f>
        <v>1</v>
      </c>
    </row>
    <row r="74" spans="1:17" x14ac:dyDescent="0.3">
      <c r="A74" s="4" t="s">
        <v>287</v>
      </c>
      <c r="B74" s="34">
        <v>45613</v>
      </c>
      <c r="C74" s="5" t="s">
        <v>234</v>
      </c>
      <c r="D74" s="5" t="s">
        <v>235</v>
      </c>
      <c r="E74" s="5" t="s">
        <v>44</v>
      </c>
      <c r="F74" s="5" t="s">
        <v>45</v>
      </c>
      <c r="G74" s="5" t="s">
        <v>46</v>
      </c>
      <c r="H74" s="5">
        <v>5</v>
      </c>
      <c r="I74" s="9">
        <v>149.99</v>
      </c>
      <c r="J74" s="5" t="s">
        <v>20</v>
      </c>
      <c r="K74" s="5" t="s">
        <v>40</v>
      </c>
      <c r="L74" s="5" t="s">
        <v>22</v>
      </c>
      <c r="M74" s="34">
        <v>44869</v>
      </c>
      <c r="N74" s="13">
        <v>749.95</v>
      </c>
      <c r="O74" s="16">
        <f>DATEDIF(data[[#This Row],[Customer_Since]], data[[#This Row],[Date]], "D")</f>
        <v>744</v>
      </c>
      <c r="P74" s="5" t="str">
        <f>TEXT(data[[#This Row],[Date]], "mmm")</f>
        <v>Nov</v>
      </c>
      <c r="Q74" s="5">
        <f>ROUNDUP(MONTH(data[[#This Row],[Date]])/3,0)</f>
        <v>4</v>
      </c>
    </row>
    <row r="75" spans="1:17" x14ac:dyDescent="0.3">
      <c r="A75" s="4" t="s">
        <v>237</v>
      </c>
      <c r="B75" s="34">
        <v>45537</v>
      </c>
      <c r="C75" s="5" t="s">
        <v>15</v>
      </c>
      <c r="D75" s="5" t="s">
        <v>16</v>
      </c>
      <c r="E75" s="5" t="s">
        <v>17</v>
      </c>
      <c r="F75" s="5" t="s">
        <v>18</v>
      </c>
      <c r="G75" s="5" t="s">
        <v>19</v>
      </c>
      <c r="H75" s="5">
        <v>1</v>
      </c>
      <c r="I75" s="9">
        <v>249.99</v>
      </c>
      <c r="J75" s="5" t="s">
        <v>57</v>
      </c>
      <c r="K75" s="5" t="s">
        <v>40</v>
      </c>
      <c r="L75" s="5" t="s">
        <v>27</v>
      </c>
      <c r="M75" s="34">
        <v>45332</v>
      </c>
      <c r="N75" s="13">
        <v>249.99</v>
      </c>
      <c r="O75" s="16">
        <f>DATEDIF(data[[#This Row],[Customer_Since]], data[[#This Row],[Date]], "D")</f>
        <v>205</v>
      </c>
      <c r="P75" s="5" t="str">
        <f>TEXT(data[[#This Row],[Date]], "mmm")</f>
        <v>Sep</v>
      </c>
      <c r="Q75" s="5">
        <f>ROUNDUP(MONTH(data[[#This Row],[Date]])/3,0)</f>
        <v>3</v>
      </c>
    </row>
    <row r="76" spans="1:17" x14ac:dyDescent="0.3">
      <c r="A76" s="4" t="s">
        <v>217</v>
      </c>
      <c r="B76" s="34">
        <v>45517</v>
      </c>
      <c r="C76" s="5" t="s">
        <v>185</v>
      </c>
      <c r="D76" s="5" t="s">
        <v>186</v>
      </c>
      <c r="E76" s="5" t="s">
        <v>17</v>
      </c>
      <c r="F76" s="5" t="s">
        <v>18</v>
      </c>
      <c r="G76" s="5" t="s">
        <v>19</v>
      </c>
      <c r="H76" s="5">
        <v>5</v>
      </c>
      <c r="I76" s="9">
        <v>249.99</v>
      </c>
      <c r="J76" s="5" t="s">
        <v>34</v>
      </c>
      <c r="K76" s="5" t="s">
        <v>63</v>
      </c>
      <c r="L76" s="5" t="s">
        <v>27</v>
      </c>
      <c r="M76" s="34">
        <v>44782</v>
      </c>
      <c r="N76" s="13">
        <v>1249.95</v>
      </c>
      <c r="O76" s="16">
        <f>DATEDIF(data[[#This Row],[Customer_Since]], data[[#This Row],[Date]], "D")</f>
        <v>735</v>
      </c>
      <c r="P76" s="5" t="str">
        <f>TEXT(data[[#This Row],[Date]], "mmm")</f>
        <v>Aug</v>
      </c>
      <c r="Q76" s="5">
        <f>ROUNDUP(MONTH(data[[#This Row],[Date]])/3,0)</f>
        <v>3</v>
      </c>
    </row>
    <row r="77" spans="1:17" x14ac:dyDescent="0.3">
      <c r="A77" s="4" t="s">
        <v>284</v>
      </c>
      <c r="B77" s="34">
        <v>45607</v>
      </c>
      <c r="C77" s="5" t="s">
        <v>99</v>
      </c>
      <c r="D77" s="5" t="s">
        <v>100</v>
      </c>
      <c r="E77" s="5" t="s">
        <v>17</v>
      </c>
      <c r="F77" s="5" t="s">
        <v>18</v>
      </c>
      <c r="G77" s="5" t="s">
        <v>19</v>
      </c>
      <c r="H77" s="5">
        <v>4</v>
      </c>
      <c r="I77" s="9">
        <v>249.99</v>
      </c>
      <c r="J77" s="5" t="s">
        <v>26</v>
      </c>
      <c r="K77" s="5" t="s">
        <v>50</v>
      </c>
      <c r="L77" s="5" t="s">
        <v>36</v>
      </c>
      <c r="M77" s="34">
        <v>44659</v>
      </c>
      <c r="N77" s="13">
        <v>999.96</v>
      </c>
      <c r="O77" s="16">
        <f>DATEDIF(data[[#This Row],[Customer_Since]], data[[#This Row],[Date]], "D")</f>
        <v>948</v>
      </c>
      <c r="P77" s="5" t="str">
        <f>TEXT(data[[#This Row],[Date]], "mmm")</f>
        <v>Nov</v>
      </c>
      <c r="Q77" s="5">
        <f>ROUNDUP(MONTH(data[[#This Row],[Date]])/3,0)</f>
        <v>4</v>
      </c>
    </row>
    <row r="78" spans="1:17" x14ac:dyDescent="0.3">
      <c r="A78" s="4" t="s">
        <v>250</v>
      </c>
      <c r="B78" s="34">
        <v>45554</v>
      </c>
      <c r="C78" s="5" t="s">
        <v>147</v>
      </c>
      <c r="D78" s="5" t="s">
        <v>148</v>
      </c>
      <c r="E78" s="5" t="s">
        <v>117</v>
      </c>
      <c r="F78" s="5" t="s">
        <v>118</v>
      </c>
      <c r="G78" s="5" t="s">
        <v>19</v>
      </c>
      <c r="H78" s="5">
        <v>5</v>
      </c>
      <c r="I78" s="9">
        <v>89.99</v>
      </c>
      <c r="J78" s="5" t="s">
        <v>26</v>
      </c>
      <c r="K78" s="5" t="s">
        <v>63</v>
      </c>
      <c r="L78" s="5" t="s">
        <v>27</v>
      </c>
      <c r="M78" s="34">
        <v>44446</v>
      </c>
      <c r="N78" s="13">
        <v>449.95</v>
      </c>
      <c r="O78" s="16">
        <f>DATEDIF(data[[#This Row],[Customer_Since]], data[[#This Row],[Date]], "D")</f>
        <v>1108</v>
      </c>
      <c r="P78" s="5" t="str">
        <f>TEXT(data[[#This Row],[Date]], "mmm")</f>
        <v>Sep</v>
      </c>
      <c r="Q78" s="5">
        <f>ROUNDUP(MONTH(data[[#This Row],[Date]])/3,0)</f>
        <v>3</v>
      </c>
    </row>
    <row r="79" spans="1:17" x14ac:dyDescent="0.3">
      <c r="A79" s="4" t="s">
        <v>173</v>
      </c>
      <c r="B79" s="34">
        <v>45469</v>
      </c>
      <c r="C79" s="5" t="s">
        <v>29</v>
      </c>
      <c r="D79" s="5" t="s">
        <v>30</v>
      </c>
      <c r="E79" s="5" t="s">
        <v>114</v>
      </c>
      <c r="F79" s="5" t="s">
        <v>115</v>
      </c>
      <c r="G79" s="5" t="s">
        <v>33</v>
      </c>
      <c r="H79" s="5">
        <v>1</v>
      </c>
      <c r="I79" s="9">
        <v>79.989999999999995</v>
      </c>
      <c r="J79" s="5" t="s">
        <v>34</v>
      </c>
      <c r="K79" s="5" t="s">
        <v>21</v>
      </c>
      <c r="L79" s="5" t="s">
        <v>27</v>
      </c>
      <c r="M79" s="34">
        <v>45352</v>
      </c>
      <c r="N79" s="13">
        <v>79.989999999999995</v>
      </c>
      <c r="O79" s="16">
        <f>DATEDIF(data[[#This Row],[Customer_Since]], data[[#This Row],[Date]], "D")</f>
        <v>117</v>
      </c>
      <c r="P79" s="5" t="str">
        <f>TEXT(data[[#This Row],[Date]], "mmm")</f>
        <v>Jun</v>
      </c>
      <c r="Q79" s="5">
        <f>ROUNDUP(MONTH(data[[#This Row],[Date]])/3,0)</f>
        <v>2</v>
      </c>
    </row>
    <row r="80" spans="1:17" x14ac:dyDescent="0.3">
      <c r="A80" s="4" t="s">
        <v>272</v>
      </c>
      <c r="B80" s="34">
        <v>45586</v>
      </c>
      <c r="C80" s="5" t="s">
        <v>226</v>
      </c>
      <c r="D80" s="5" t="s">
        <v>227</v>
      </c>
      <c r="E80" s="5" t="s">
        <v>117</v>
      </c>
      <c r="F80" s="5" t="s">
        <v>118</v>
      </c>
      <c r="G80" s="5" t="s">
        <v>19</v>
      </c>
      <c r="H80" s="5">
        <v>3</v>
      </c>
      <c r="I80" s="9">
        <v>89.99</v>
      </c>
      <c r="J80" s="5" t="s">
        <v>34</v>
      </c>
      <c r="K80" s="5" t="s">
        <v>21</v>
      </c>
      <c r="L80" s="5" t="s">
        <v>22</v>
      </c>
      <c r="M80" s="34">
        <v>44551</v>
      </c>
      <c r="N80" s="13">
        <v>269.97000000000003</v>
      </c>
      <c r="O80" s="16">
        <f>DATEDIF(data[[#This Row],[Customer_Since]], data[[#This Row],[Date]], "D")</f>
        <v>1035</v>
      </c>
      <c r="P80" s="5" t="str">
        <f>TEXT(data[[#This Row],[Date]], "mmm")</f>
        <v>Oct</v>
      </c>
      <c r="Q80" s="5">
        <f>ROUNDUP(MONTH(data[[#This Row],[Date]])/3,0)</f>
        <v>4</v>
      </c>
    </row>
    <row r="81" spans="1:17" x14ac:dyDescent="0.3">
      <c r="A81" s="4" t="s">
        <v>204</v>
      </c>
      <c r="B81" s="34">
        <v>45500</v>
      </c>
      <c r="C81" s="5" t="s">
        <v>96</v>
      </c>
      <c r="D81" s="5" t="s">
        <v>97</v>
      </c>
      <c r="E81" s="5" t="s">
        <v>17</v>
      </c>
      <c r="F81" s="5" t="s">
        <v>18</v>
      </c>
      <c r="G81" s="5" t="s">
        <v>19</v>
      </c>
      <c r="H81" s="5">
        <v>2</v>
      </c>
      <c r="I81" s="9">
        <v>249.99</v>
      </c>
      <c r="J81" s="5" t="s">
        <v>20</v>
      </c>
      <c r="K81" s="5" t="s">
        <v>40</v>
      </c>
      <c r="L81" s="5" t="s">
        <v>27</v>
      </c>
      <c r="M81" s="34">
        <v>45164</v>
      </c>
      <c r="N81" s="13">
        <v>499.98</v>
      </c>
      <c r="O81" s="16">
        <f>DATEDIF(data[[#This Row],[Customer_Since]], data[[#This Row],[Date]], "D")</f>
        <v>336</v>
      </c>
      <c r="P81" s="5" t="str">
        <f>TEXT(data[[#This Row],[Date]], "mmm")</f>
        <v>Jul</v>
      </c>
      <c r="Q81" s="5">
        <f>ROUNDUP(MONTH(data[[#This Row],[Date]])/3,0)</f>
        <v>3</v>
      </c>
    </row>
    <row r="82" spans="1:17" x14ac:dyDescent="0.3">
      <c r="A82" s="4" t="s">
        <v>309</v>
      </c>
      <c r="B82" s="34">
        <v>45641</v>
      </c>
      <c r="C82" s="5" t="s">
        <v>182</v>
      </c>
      <c r="D82" s="5" t="s">
        <v>183</v>
      </c>
      <c r="E82" s="5" t="s">
        <v>44</v>
      </c>
      <c r="F82" s="5" t="s">
        <v>45</v>
      </c>
      <c r="G82" s="5" t="s">
        <v>46</v>
      </c>
      <c r="H82" s="5">
        <v>1</v>
      </c>
      <c r="I82" s="9">
        <v>149.99</v>
      </c>
      <c r="J82" s="5" t="s">
        <v>57</v>
      </c>
      <c r="K82" s="5" t="s">
        <v>63</v>
      </c>
      <c r="L82" s="5" t="s">
        <v>36</v>
      </c>
      <c r="M82" s="34">
        <v>45200</v>
      </c>
      <c r="N82" s="13">
        <v>149.99</v>
      </c>
      <c r="O82" s="16">
        <f>DATEDIF(data[[#This Row],[Customer_Since]], data[[#This Row],[Date]], "D")</f>
        <v>441</v>
      </c>
      <c r="P82" s="5" t="str">
        <f>TEXT(data[[#This Row],[Date]], "mmm")</f>
        <v>Dec</v>
      </c>
      <c r="Q82" s="5">
        <f>ROUNDUP(MONTH(data[[#This Row],[Date]])/3,0)</f>
        <v>4</v>
      </c>
    </row>
    <row r="83" spans="1:17" x14ac:dyDescent="0.3">
      <c r="A83" s="4" t="s">
        <v>303</v>
      </c>
      <c r="B83" s="34">
        <v>45635</v>
      </c>
      <c r="C83" s="5" t="s">
        <v>304</v>
      </c>
      <c r="D83" s="5" t="s">
        <v>305</v>
      </c>
      <c r="E83" s="5" t="s">
        <v>31</v>
      </c>
      <c r="F83" s="5" t="s">
        <v>32</v>
      </c>
      <c r="G83" s="5" t="s">
        <v>33</v>
      </c>
      <c r="H83" s="5">
        <v>3</v>
      </c>
      <c r="I83" s="9">
        <v>59.99</v>
      </c>
      <c r="J83" s="5" t="s">
        <v>20</v>
      </c>
      <c r="K83" s="5" t="s">
        <v>21</v>
      </c>
      <c r="L83" s="5" t="s">
        <v>27</v>
      </c>
      <c r="M83" s="34">
        <v>45052</v>
      </c>
      <c r="N83" s="13">
        <v>179.97</v>
      </c>
      <c r="O83" s="16">
        <f>DATEDIF(data[[#This Row],[Customer_Since]], data[[#This Row],[Date]], "D")</f>
        <v>583</v>
      </c>
      <c r="P83" s="5" t="str">
        <f>TEXT(data[[#This Row],[Date]], "mmm")</f>
        <v>Dec</v>
      </c>
      <c r="Q83" s="5">
        <f>ROUNDUP(MONTH(data[[#This Row],[Date]])/3,0)</f>
        <v>4</v>
      </c>
    </row>
    <row r="84" spans="1:17" x14ac:dyDescent="0.3">
      <c r="A84" s="4" t="s">
        <v>363</v>
      </c>
      <c r="B84" s="34">
        <v>45710</v>
      </c>
      <c r="C84" s="5" t="s">
        <v>55</v>
      </c>
      <c r="D84" s="5" t="s">
        <v>56</v>
      </c>
      <c r="E84" s="5" t="s">
        <v>105</v>
      </c>
      <c r="F84" s="5" t="s">
        <v>106</v>
      </c>
      <c r="G84" s="5" t="s">
        <v>46</v>
      </c>
      <c r="H84" s="5">
        <v>5</v>
      </c>
      <c r="I84" s="9">
        <v>299.99</v>
      </c>
      <c r="J84" s="5" t="s">
        <v>20</v>
      </c>
      <c r="K84" s="5" t="s">
        <v>50</v>
      </c>
      <c r="L84" s="5" t="s">
        <v>36</v>
      </c>
      <c r="M84" s="34">
        <v>45142</v>
      </c>
      <c r="N84" s="13">
        <v>1499.95</v>
      </c>
      <c r="O84" s="16">
        <f>DATEDIF(data[[#This Row],[Customer_Since]], data[[#This Row],[Date]], "D")</f>
        <v>568</v>
      </c>
      <c r="P84" s="5" t="str">
        <f>TEXT(data[[#This Row],[Date]], "mmm")</f>
        <v>Feb</v>
      </c>
      <c r="Q84" s="5">
        <f>ROUNDUP(MONTH(data[[#This Row],[Date]])/3,0)</f>
        <v>1</v>
      </c>
    </row>
    <row r="85" spans="1:17" x14ac:dyDescent="0.3">
      <c r="A85" s="4" t="s">
        <v>332</v>
      </c>
      <c r="B85" s="34">
        <v>45668</v>
      </c>
      <c r="C85" s="5" t="s">
        <v>138</v>
      </c>
      <c r="D85" s="5" t="s">
        <v>139</v>
      </c>
      <c r="E85" s="5" t="s">
        <v>52</v>
      </c>
      <c r="F85" s="5" t="s">
        <v>53</v>
      </c>
      <c r="G85" s="5" t="s">
        <v>19</v>
      </c>
      <c r="H85" s="5">
        <v>4</v>
      </c>
      <c r="I85" s="9">
        <v>149.99</v>
      </c>
      <c r="J85" s="5" t="s">
        <v>57</v>
      </c>
      <c r="K85" s="5" t="s">
        <v>63</v>
      </c>
      <c r="L85" s="5" t="s">
        <v>36</v>
      </c>
      <c r="M85" s="34">
        <v>44536</v>
      </c>
      <c r="N85" s="13">
        <v>599.96</v>
      </c>
      <c r="O85" s="16">
        <f>DATEDIF(data[[#This Row],[Customer_Since]], data[[#This Row],[Date]], "D")</f>
        <v>1132</v>
      </c>
      <c r="P85" s="5" t="str">
        <f>TEXT(data[[#This Row],[Date]], "mmm")</f>
        <v>Jan</v>
      </c>
      <c r="Q85" s="5">
        <f>ROUNDUP(MONTH(data[[#This Row],[Date]])/3,0)</f>
        <v>1</v>
      </c>
    </row>
    <row r="86" spans="1:17" x14ac:dyDescent="0.3">
      <c r="A86" s="4" t="s">
        <v>266</v>
      </c>
      <c r="B86" s="34">
        <v>45576</v>
      </c>
      <c r="C86" s="5" t="s">
        <v>147</v>
      </c>
      <c r="D86" s="5" t="s">
        <v>148</v>
      </c>
      <c r="E86" s="5" t="s">
        <v>105</v>
      </c>
      <c r="F86" s="5" t="s">
        <v>106</v>
      </c>
      <c r="G86" s="5" t="s">
        <v>46</v>
      </c>
      <c r="H86" s="5">
        <v>3</v>
      </c>
      <c r="I86" s="9">
        <v>299.99</v>
      </c>
      <c r="J86" s="5" t="s">
        <v>26</v>
      </c>
      <c r="K86" s="5" t="s">
        <v>21</v>
      </c>
      <c r="L86" s="5" t="s">
        <v>36</v>
      </c>
      <c r="M86" s="34">
        <v>45174</v>
      </c>
      <c r="N86" s="13">
        <v>899.97</v>
      </c>
      <c r="O86" s="16">
        <f>DATEDIF(data[[#This Row],[Customer_Since]], data[[#This Row],[Date]], "D")</f>
        <v>402</v>
      </c>
      <c r="P86" s="5" t="str">
        <f>TEXT(data[[#This Row],[Date]], "mmm")</f>
        <v>Oct</v>
      </c>
      <c r="Q86" s="5">
        <f>ROUNDUP(MONTH(data[[#This Row],[Date]])/3,0)</f>
        <v>4</v>
      </c>
    </row>
    <row r="87" spans="1:17" x14ac:dyDescent="0.3">
      <c r="A87" s="4" t="s">
        <v>184</v>
      </c>
      <c r="B87" s="34">
        <v>45481</v>
      </c>
      <c r="C87" s="5" t="s">
        <v>185</v>
      </c>
      <c r="D87" s="5" t="s">
        <v>186</v>
      </c>
      <c r="E87" s="5" t="s">
        <v>44</v>
      </c>
      <c r="F87" s="5" t="s">
        <v>45</v>
      </c>
      <c r="G87" s="5" t="s">
        <v>46</v>
      </c>
      <c r="H87" s="5">
        <v>1</v>
      </c>
      <c r="I87" s="9">
        <v>149.99</v>
      </c>
      <c r="J87" s="5" t="s">
        <v>34</v>
      </c>
      <c r="K87" s="5" t="s">
        <v>40</v>
      </c>
      <c r="L87" s="5" t="s">
        <v>22</v>
      </c>
      <c r="M87" s="34">
        <v>44421</v>
      </c>
      <c r="N87" s="13">
        <v>149.99</v>
      </c>
      <c r="O87" s="16">
        <f>DATEDIF(data[[#This Row],[Customer_Since]], data[[#This Row],[Date]], "D")</f>
        <v>1060</v>
      </c>
      <c r="P87" s="5" t="str">
        <f>TEXT(data[[#This Row],[Date]], "mmm")</f>
        <v>Jul</v>
      </c>
      <c r="Q87" s="5">
        <f>ROUNDUP(MONTH(data[[#This Row],[Date]])/3,0)</f>
        <v>3</v>
      </c>
    </row>
    <row r="88" spans="1:17" x14ac:dyDescent="0.3">
      <c r="A88" s="4" t="s">
        <v>336</v>
      </c>
      <c r="B88" s="34">
        <v>45671</v>
      </c>
      <c r="C88" s="5" t="s">
        <v>158</v>
      </c>
      <c r="D88" s="5" t="s">
        <v>159</v>
      </c>
      <c r="E88" s="5" t="s">
        <v>17</v>
      </c>
      <c r="F88" s="5" t="s">
        <v>18</v>
      </c>
      <c r="G88" s="5" t="s">
        <v>19</v>
      </c>
      <c r="H88" s="5">
        <v>4</v>
      </c>
      <c r="I88" s="9">
        <v>249.99</v>
      </c>
      <c r="J88" s="5" t="s">
        <v>26</v>
      </c>
      <c r="K88" s="5" t="s">
        <v>40</v>
      </c>
      <c r="L88" s="5" t="s">
        <v>27</v>
      </c>
      <c r="M88" s="34">
        <v>44460</v>
      </c>
      <c r="N88" s="13">
        <v>999.96</v>
      </c>
      <c r="O88" s="16">
        <f>DATEDIF(data[[#This Row],[Customer_Since]], data[[#This Row],[Date]], "D")</f>
        <v>1211</v>
      </c>
      <c r="P88" s="5" t="str">
        <f>TEXT(data[[#This Row],[Date]], "mmm")</f>
        <v>Jan</v>
      </c>
      <c r="Q88" s="5">
        <f>ROUNDUP(MONTH(data[[#This Row],[Date]])/3,0)</f>
        <v>1</v>
      </c>
    </row>
    <row r="89" spans="1:17" x14ac:dyDescent="0.3">
      <c r="A89" s="4" t="s">
        <v>164</v>
      </c>
      <c r="B89" s="34">
        <v>45456</v>
      </c>
      <c r="C89" s="5" t="s">
        <v>129</v>
      </c>
      <c r="D89" s="5" t="s">
        <v>130</v>
      </c>
      <c r="E89" s="5" t="s">
        <v>117</v>
      </c>
      <c r="F89" s="5" t="s">
        <v>118</v>
      </c>
      <c r="G89" s="5" t="s">
        <v>19</v>
      </c>
      <c r="H89" s="5">
        <v>5</v>
      </c>
      <c r="I89" s="9">
        <v>89.99</v>
      </c>
      <c r="J89" s="5" t="s">
        <v>20</v>
      </c>
      <c r="K89" s="5" t="s">
        <v>21</v>
      </c>
      <c r="L89" s="5" t="s">
        <v>27</v>
      </c>
      <c r="M89" s="34">
        <v>44579</v>
      </c>
      <c r="N89" s="13">
        <v>449.95</v>
      </c>
      <c r="O89" s="16">
        <f>DATEDIF(data[[#This Row],[Customer_Since]], data[[#This Row],[Date]], "D")</f>
        <v>877</v>
      </c>
      <c r="P89" s="5" t="str">
        <f>TEXT(data[[#This Row],[Date]], "mmm")</f>
        <v>Jun</v>
      </c>
      <c r="Q89" s="5">
        <f>ROUNDUP(MONTH(data[[#This Row],[Date]])/3,0)</f>
        <v>2</v>
      </c>
    </row>
    <row r="90" spans="1:17" x14ac:dyDescent="0.3">
      <c r="A90" s="4" t="s">
        <v>356</v>
      </c>
      <c r="B90" s="34">
        <v>45704</v>
      </c>
      <c r="C90" s="5" t="s">
        <v>29</v>
      </c>
      <c r="D90" s="5" t="s">
        <v>30</v>
      </c>
      <c r="E90" s="5" t="s">
        <v>126</v>
      </c>
      <c r="F90" s="5" t="s">
        <v>127</v>
      </c>
      <c r="G90" s="5" t="s">
        <v>46</v>
      </c>
      <c r="H90" s="5">
        <v>3</v>
      </c>
      <c r="I90" s="9">
        <v>199.99</v>
      </c>
      <c r="J90" s="5" t="s">
        <v>20</v>
      </c>
      <c r="K90" s="5" t="s">
        <v>21</v>
      </c>
      <c r="L90" s="5" t="s">
        <v>22</v>
      </c>
      <c r="M90" s="34">
        <v>44735</v>
      </c>
      <c r="N90" s="13">
        <v>599.97</v>
      </c>
      <c r="O90" s="16">
        <f>DATEDIF(data[[#This Row],[Customer_Since]], data[[#This Row],[Date]], "D")</f>
        <v>969</v>
      </c>
      <c r="P90" s="5" t="str">
        <f>TEXT(data[[#This Row],[Date]], "mmm")</f>
        <v>Feb</v>
      </c>
      <c r="Q90" s="5">
        <f>ROUNDUP(MONTH(data[[#This Row],[Date]])/3,0)</f>
        <v>1</v>
      </c>
    </row>
    <row r="91" spans="1:17" x14ac:dyDescent="0.3">
      <c r="A91" s="4" t="s">
        <v>281</v>
      </c>
      <c r="B91" s="34">
        <v>45605</v>
      </c>
      <c r="C91" s="5" t="s">
        <v>185</v>
      </c>
      <c r="D91" s="5" t="s">
        <v>186</v>
      </c>
      <c r="E91" s="5" t="s">
        <v>17</v>
      </c>
      <c r="F91" s="5" t="s">
        <v>18</v>
      </c>
      <c r="G91" s="5" t="s">
        <v>19</v>
      </c>
      <c r="H91" s="5">
        <v>1</v>
      </c>
      <c r="I91" s="9">
        <v>249.99</v>
      </c>
      <c r="J91" s="5" t="s">
        <v>26</v>
      </c>
      <c r="K91" s="5" t="s">
        <v>40</v>
      </c>
      <c r="L91" s="5" t="s">
        <v>27</v>
      </c>
      <c r="M91" s="34">
        <v>44828</v>
      </c>
      <c r="N91" s="13">
        <v>249.99</v>
      </c>
      <c r="O91" s="16">
        <f>DATEDIF(data[[#This Row],[Customer_Since]], data[[#This Row],[Date]], "D")</f>
        <v>777</v>
      </c>
      <c r="P91" s="5" t="str">
        <f>TEXT(data[[#This Row],[Date]], "mmm")</f>
        <v>Nov</v>
      </c>
      <c r="Q91" s="5">
        <f>ROUNDUP(MONTH(data[[#This Row],[Date]])/3,0)</f>
        <v>4</v>
      </c>
    </row>
    <row r="92" spans="1:17" x14ac:dyDescent="0.3">
      <c r="A92" s="4" t="s">
        <v>328</v>
      </c>
      <c r="B92" s="34">
        <v>45663</v>
      </c>
      <c r="C92" s="5" t="s">
        <v>42</v>
      </c>
      <c r="D92" s="5" t="s">
        <v>43</v>
      </c>
      <c r="E92" s="5" t="s">
        <v>105</v>
      </c>
      <c r="F92" s="5" t="s">
        <v>106</v>
      </c>
      <c r="G92" s="5" t="s">
        <v>46</v>
      </c>
      <c r="H92" s="5">
        <v>3</v>
      </c>
      <c r="I92" s="9">
        <v>299.99</v>
      </c>
      <c r="J92" s="5" t="s">
        <v>20</v>
      </c>
      <c r="K92" s="5" t="s">
        <v>35</v>
      </c>
      <c r="L92" s="5" t="s">
        <v>36</v>
      </c>
      <c r="M92" s="34">
        <v>44422</v>
      </c>
      <c r="N92" s="13">
        <v>899.97</v>
      </c>
      <c r="O92" s="16">
        <f>DATEDIF(data[[#This Row],[Customer_Since]], data[[#This Row],[Date]], "D")</f>
        <v>1241</v>
      </c>
      <c r="P92" s="5" t="str">
        <f>TEXT(data[[#This Row],[Date]], "mmm")</f>
        <v>Jan</v>
      </c>
      <c r="Q92" s="5">
        <f>ROUNDUP(MONTH(data[[#This Row],[Date]])/3,0)</f>
        <v>1</v>
      </c>
    </row>
    <row r="93" spans="1:17" x14ac:dyDescent="0.3">
      <c r="A93" s="4" t="s">
        <v>47</v>
      </c>
      <c r="B93" s="34">
        <v>45403</v>
      </c>
      <c r="C93" s="5" t="s">
        <v>48</v>
      </c>
      <c r="D93" s="5" t="s">
        <v>49</v>
      </c>
      <c r="E93" s="5" t="s">
        <v>31</v>
      </c>
      <c r="F93" s="5" t="s">
        <v>32</v>
      </c>
      <c r="G93" s="5" t="s">
        <v>33</v>
      </c>
      <c r="H93" s="5">
        <v>2</v>
      </c>
      <c r="I93" s="9">
        <v>59.99</v>
      </c>
      <c r="J93" s="5" t="s">
        <v>20</v>
      </c>
      <c r="K93" s="5" t="s">
        <v>50</v>
      </c>
      <c r="L93" s="5" t="s">
        <v>36</v>
      </c>
      <c r="M93" s="34">
        <v>44746</v>
      </c>
      <c r="N93" s="13">
        <v>119.98</v>
      </c>
      <c r="O93" s="16">
        <f>DATEDIF(data[[#This Row],[Customer_Since]], data[[#This Row],[Date]], "D")</f>
        <v>657</v>
      </c>
      <c r="P93" s="5" t="str">
        <f>TEXT(data[[#This Row],[Date]], "mmm")</f>
        <v>Apr</v>
      </c>
      <c r="Q93" s="5">
        <f>ROUNDUP(MONTH(data[[#This Row],[Date]])/3,0)</f>
        <v>2</v>
      </c>
    </row>
    <row r="94" spans="1:17" x14ac:dyDescent="0.3">
      <c r="A94" s="4" t="s">
        <v>161</v>
      </c>
      <c r="B94" s="34">
        <v>45452</v>
      </c>
      <c r="C94" s="5" t="s">
        <v>162</v>
      </c>
      <c r="D94" s="5" t="s">
        <v>163</v>
      </c>
      <c r="E94" s="5" t="s">
        <v>31</v>
      </c>
      <c r="F94" s="5" t="s">
        <v>32</v>
      </c>
      <c r="G94" s="5" t="s">
        <v>33</v>
      </c>
      <c r="H94" s="5">
        <v>4</v>
      </c>
      <c r="I94" s="9">
        <v>59.99</v>
      </c>
      <c r="J94" s="5" t="s">
        <v>20</v>
      </c>
      <c r="K94" s="5" t="s">
        <v>63</v>
      </c>
      <c r="L94" s="5" t="s">
        <v>36</v>
      </c>
      <c r="M94" s="34">
        <v>44435</v>
      </c>
      <c r="N94" s="13">
        <v>239.96</v>
      </c>
      <c r="O94" s="16">
        <f>DATEDIF(data[[#This Row],[Customer_Since]], data[[#This Row],[Date]], "D")</f>
        <v>1017</v>
      </c>
      <c r="P94" s="5" t="str">
        <f>TEXT(data[[#This Row],[Date]], "mmm")</f>
        <v>Jun</v>
      </c>
      <c r="Q94" s="5">
        <f>ROUNDUP(MONTH(data[[#This Row],[Date]])/3,0)</f>
        <v>2</v>
      </c>
    </row>
    <row r="95" spans="1:17" x14ac:dyDescent="0.3">
      <c r="A95" s="4" t="s">
        <v>297</v>
      </c>
      <c r="B95" s="34">
        <v>45627</v>
      </c>
      <c r="C95" s="5" t="s">
        <v>55</v>
      </c>
      <c r="D95" s="5" t="s">
        <v>56</v>
      </c>
      <c r="E95" s="5" t="s">
        <v>17</v>
      </c>
      <c r="F95" s="5" t="s">
        <v>18</v>
      </c>
      <c r="G95" s="5" t="s">
        <v>19</v>
      </c>
      <c r="H95" s="5">
        <v>5</v>
      </c>
      <c r="I95" s="9">
        <v>249.99</v>
      </c>
      <c r="J95" s="5" t="s">
        <v>20</v>
      </c>
      <c r="K95" s="5" t="s">
        <v>21</v>
      </c>
      <c r="L95" s="5" t="s">
        <v>27</v>
      </c>
      <c r="M95" s="34">
        <v>44485</v>
      </c>
      <c r="N95" s="13">
        <v>1249.95</v>
      </c>
      <c r="O95" s="16">
        <f>DATEDIF(data[[#This Row],[Customer_Since]], data[[#This Row],[Date]], "D")</f>
        <v>1142</v>
      </c>
      <c r="P95" s="5" t="str">
        <f>TEXT(data[[#This Row],[Date]], "mmm")</f>
        <v>Dec</v>
      </c>
      <c r="Q95" s="5">
        <f>ROUNDUP(MONTH(data[[#This Row],[Date]])/3,0)</f>
        <v>4</v>
      </c>
    </row>
    <row r="96" spans="1:17" x14ac:dyDescent="0.3">
      <c r="A96" s="4" t="s">
        <v>273</v>
      </c>
      <c r="B96" s="34">
        <v>45588</v>
      </c>
      <c r="C96" s="5" t="s">
        <v>38</v>
      </c>
      <c r="D96" s="5" t="s">
        <v>39</v>
      </c>
      <c r="E96" s="5" t="s">
        <v>52</v>
      </c>
      <c r="F96" s="5" t="s">
        <v>53</v>
      </c>
      <c r="G96" s="5" t="s">
        <v>19</v>
      </c>
      <c r="H96" s="5">
        <v>2</v>
      </c>
      <c r="I96" s="9">
        <v>149.99</v>
      </c>
      <c r="J96" s="5" t="s">
        <v>34</v>
      </c>
      <c r="K96" s="5" t="s">
        <v>21</v>
      </c>
      <c r="L96" s="5" t="s">
        <v>22</v>
      </c>
      <c r="M96" s="34">
        <v>44473</v>
      </c>
      <c r="N96" s="13">
        <v>299.98</v>
      </c>
      <c r="O96" s="16">
        <f>DATEDIF(data[[#This Row],[Customer_Since]], data[[#This Row],[Date]], "D")</f>
        <v>1115</v>
      </c>
      <c r="P96" s="5" t="str">
        <f>TEXT(data[[#This Row],[Date]], "mmm")</f>
        <v>Oct</v>
      </c>
      <c r="Q96" s="5">
        <f>ROUNDUP(MONTH(data[[#This Row],[Date]])/3,0)</f>
        <v>4</v>
      </c>
    </row>
    <row r="97" spans="1:17" x14ac:dyDescent="0.3">
      <c r="A97" s="4" t="s">
        <v>178</v>
      </c>
      <c r="B97" s="34">
        <v>45474</v>
      </c>
      <c r="C97" s="5" t="s">
        <v>132</v>
      </c>
      <c r="D97" s="5" t="s">
        <v>133</v>
      </c>
      <c r="E97" s="5" t="s">
        <v>117</v>
      </c>
      <c r="F97" s="5" t="s">
        <v>118</v>
      </c>
      <c r="G97" s="5" t="s">
        <v>19</v>
      </c>
      <c r="H97" s="5">
        <v>2</v>
      </c>
      <c r="I97" s="9">
        <v>89.99</v>
      </c>
      <c r="J97" s="5" t="s">
        <v>34</v>
      </c>
      <c r="K97" s="5" t="s">
        <v>21</v>
      </c>
      <c r="L97" s="5" t="s">
        <v>27</v>
      </c>
      <c r="M97" s="34">
        <v>45275</v>
      </c>
      <c r="N97" s="13">
        <v>179.98</v>
      </c>
      <c r="O97" s="16">
        <f>DATEDIF(data[[#This Row],[Customer_Since]], data[[#This Row],[Date]], "D")</f>
        <v>199</v>
      </c>
      <c r="P97" s="5" t="str">
        <f>TEXT(data[[#This Row],[Date]], "mmm")</f>
        <v>Jul</v>
      </c>
      <c r="Q97" s="5">
        <f>ROUNDUP(MONTH(data[[#This Row],[Date]])/3,0)</f>
        <v>3</v>
      </c>
    </row>
    <row r="98" spans="1:17" x14ac:dyDescent="0.3">
      <c r="A98" s="4" t="s">
        <v>194</v>
      </c>
      <c r="B98" s="34">
        <v>45487</v>
      </c>
      <c r="C98" s="5" t="s">
        <v>192</v>
      </c>
      <c r="D98" s="5" t="s">
        <v>193</v>
      </c>
      <c r="E98" s="5" t="s">
        <v>126</v>
      </c>
      <c r="F98" s="5" t="s">
        <v>127</v>
      </c>
      <c r="G98" s="5" t="s">
        <v>46</v>
      </c>
      <c r="H98" s="5">
        <v>2</v>
      </c>
      <c r="I98" s="9">
        <v>199.99</v>
      </c>
      <c r="J98" s="5" t="s">
        <v>20</v>
      </c>
      <c r="K98" s="5" t="s">
        <v>40</v>
      </c>
      <c r="L98" s="5" t="s">
        <v>22</v>
      </c>
      <c r="M98" s="34">
        <v>44541</v>
      </c>
      <c r="N98" s="13">
        <v>399.98</v>
      </c>
      <c r="O98" s="16">
        <f>DATEDIF(data[[#This Row],[Customer_Since]], data[[#This Row],[Date]], "D")</f>
        <v>946</v>
      </c>
      <c r="P98" s="5" t="str">
        <f>TEXT(data[[#This Row],[Date]], "mmm")</f>
        <v>Jul</v>
      </c>
      <c r="Q98" s="5">
        <f>ROUNDUP(MONTH(data[[#This Row],[Date]])/3,0)</f>
        <v>3</v>
      </c>
    </row>
    <row r="99" spans="1:17" x14ac:dyDescent="0.3">
      <c r="A99" s="4" t="s">
        <v>218</v>
      </c>
      <c r="B99" s="34">
        <v>45517</v>
      </c>
      <c r="C99" s="5" t="s">
        <v>65</v>
      </c>
      <c r="D99" s="5" t="s">
        <v>66</v>
      </c>
      <c r="E99" s="5" t="s">
        <v>17</v>
      </c>
      <c r="F99" s="5" t="s">
        <v>18</v>
      </c>
      <c r="G99" s="5" t="s">
        <v>19</v>
      </c>
      <c r="H99" s="5">
        <v>3</v>
      </c>
      <c r="I99" s="9">
        <v>249.99</v>
      </c>
      <c r="J99" s="5" t="s">
        <v>34</v>
      </c>
      <c r="K99" s="5" t="s">
        <v>40</v>
      </c>
      <c r="L99" s="5" t="s">
        <v>27</v>
      </c>
      <c r="M99" s="34">
        <v>44465</v>
      </c>
      <c r="N99" s="13">
        <v>749.97</v>
      </c>
      <c r="O99" s="16">
        <f>DATEDIF(data[[#This Row],[Customer_Since]], data[[#This Row],[Date]], "D")</f>
        <v>1052</v>
      </c>
      <c r="P99" s="5" t="str">
        <f>TEXT(data[[#This Row],[Date]], "mmm")</f>
        <v>Aug</v>
      </c>
      <c r="Q99" s="5">
        <f>ROUNDUP(MONTH(data[[#This Row],[Date]])/3,0)</f>
        <v>3</v>
      </c>
    </row>
    <row r="100" spans="1:17" x14ac:dyDescent="0.3">
      <c r="A100" s="4" t="s">
        <v>236</v>
      </c>
      <c r="B100" s="34">
        <v>45537</v>
      </c>
      <c r="C100" s="5" t="s">
        <v>231</v>
      </c>
      <c r="D100" s="5" t="s">
        <v>232</v>
      </c>
      <c r="E100" s="5" t="s">
        <v>17</v>
      </c>
      <c r="F100" s="5" t="s">
        <v>18</v>
      </c>
      <c r="G100" s="5" t="s">
        <v>19</v>
      </c>
      <c r="H100" s="5">
        <v>1</v>
      </c>
      <c r="I100" s="9">
        <v>249.99</v>
      </c>
      <c r="J100" s="5" t="s">
        <v>26</v>
      </c>
      <c r="K100" s="5" t="s">
        <v>50</v>
      </c>
      <c r="L100" s="5" t="s">
        <v>27</v>
      </c>
      <c r="M100" s="34">
        <v>44685</v>
      </c>
      <c r="N100" s="13">
        <v>249.99</v>
      </c>
      <c r="O100" s="16">
        <f>DATEDIF(data[[#This Row],[Customer_Since]], data[[#This Row],[Date]], "D")</f>
        <v>852</v>
      </c>
      <c r="P100" s="5" t="str">
        <f>TEXT(data[[#This Row],[Date]], "mmm")</f>
        <v>Sep</v>
      </c>
      <c r="Q100" s="5">
        <f>ROUNDUP(MONTH(data[[#This Row],[Date]])/3,0)</f>
        <v>3</v>
      </c>
    </row>
    <row r="101" spans="1:17" x14ac:dyDescent="0.3">
      <c r="A101" s="4" t="s">
        <v>239</v>
      </c>
      <c r="B101" s="34">
        <v>45541</v>
      </c>
      <c r="C101" s="5" t="s">
        <v>138</v>
      </c>
      <c r="D101" s="5" t="s">
        <v>139</v>
      </c>
      <c r="E101" s="5" t="s">
        <v>31</v>
      </c>
      <c r="F101" s="5" t="s">
        <v>32</v>
      </c>
      <c r="G101" s="5" t="s">
        <v>33</v>
      </c>
      <c r="H101" s="5">
        <v>3</v>
      </c>
      <c r="I101" s="9">
        <v>59.99</v>
      </c>
      <c r="J101" s="5" t="s">
        <v>26</v>
      </c>
      <c r="K101" s="5" t="s">
        <v>21</v>
      </c>
      <c r="L101" s="5" t="s">
        <v>27</v>
      </c>
      <c r="M101" s="34">
        <v>44717</v>
      </c>
      <c r="N101" s="13">
        <v>179.97</v>
      </c>
      <c r="O101" s="16">
        <f>DATEDIF(data[[#This Row],[Customer_Since]], data[[#This Row],[Date]], "D")</f>
        <v>824</v>
      </c>
      <c r="P101" s="5" t="str">
        <f>TEXT(data[[#This Row],[Date]], "mmm")</f>
        <v>Sep</v>
      </c>
      <c r="Q101" s="5">
        <f>ROUNDUP(MONTH(data[[#This Row],[Date]])/3,0)</f>
        <v>3</v>
      </c>
    </row>
    <row r="102" spans="1:17" x14ac:dyDescent="0.3">
      <c r="A102" s="4" t="s">
        <v>214</v>
      </c>
      <c r="B102" s="34">
        <v>45513</v>
      </c>
      <c r="C102" s="5" t="s">
        <v>89</v>
      </c>
      <c r="D102" s="5" t="s">
        <v>90</v>
      </c>
      <c r="E102" s="5" t="s">
        <v>117</v>
      </c>
      <c r="F102" s="5" t="s">
        <v>118</v>
      </c>
      <c r="G102" s="5" t="s">
        <v>19</v>
      </c>
      <c r="H102" s="5">
        <v>1</v>
      </c>
      <c r="I102" s="9">
        <v>89.99</v>
      </c>
      <c r="J102" s="5" t="s">
        <v>26</v>
      </c>
      <c r="K102" s="5" t="s">
        <v>40</v>
      </c>
      <c r="L102" s="5" t="s">
        <v>36</v>
      </c>
      <c r="M102" s="34">
        <v>45393</v>
      </c>
      <c r="N102" s="13">
        <v>89.99</v>
      </c>
      <c r="O102" s="16">
        <f>DATEDIF(data[[#This Row],[Customer_Since]], data[[#This Row],[Date]], "D")</f>
        <v>120</v>
      </c>
      <c r="P102" s="5" t="str">
        <f>TEXT(data[[#This Row],[Date]], "mmm")</f>
        <v>Aug</v>
      </c>
      <c r="Q102" s="5">
        <f>ROUNDUP(MONTH(data[[#This Row],[Date]])/3,0)</f>
        <v>3</v>
      </c>
    </row>
    <row r="103" spans="1:17" x14ac:dyDescent="0.3">
      <c r="A103" s="4" t="s">
        <v>334</v>
      </c>
      <c r="B103" s="34">
        <v>45670</v>
      </c>
      <c r="C103" s="5" t="s">
        <v>293</v>
      </c>
      <c r="D103" s="5" t="s">
        <v>294</v>
      </c>
      <c r="E103" s="5" t="s">
        <v>114</v>
      </c>
      <c r="F103" s="5" t="s">
        <v>115</v>
      </c>
      <c r="G103" s="5" t="s">
        <v>33</v>
      </c>
      <c r="H103" s="5">
        <v>1</v>
      </c>
      <c r="I103" s="9">
        <v>79.989999999999995</v>
      </c>
      <c r="J103" s="5" t="s">
        <v>26</v>
      </c>
      <c r="K103" s="5" t="s">
        <v>35</v>
      </c>
      <c r="L103" s="5" t="s">
        <v>22</v>
      </c>
      <c r="M103" s="34">
        <v>45322</v>
      </c>
      <c r="N103" s="13">
        <v>79.989999999999995</v>
      </c>
      <c r="O103" s="16">
        <f>DATEDIF(data[[#This Row],[Customer_Since]], data[[#This Row],[Date]], "D")</f>
        <v>348</v>
      </c>
      <c r="P103" s="5" t="str">
        <f>TEXT(data[[#This Row],[Date]], "mmm")</f>
        <v>Jan</v>
      </c>
      <c r="Q103" s="5">
        <f>ROUNDUP(MONTH(data[[#This Row],[Date]])/3,0)</f>
        <v>1</v>
      </c>
    </row>
    <row r="104" spans="1:17" x14ac:dyDescent="0.3">
      <c r="A104" s="4" t="s">
        <v>397</v>
      </c>
      <c r="B104" s="34">
        <v>45758</v>
      </c>
      <c r="C104" s="5" t="s">
        <v>226</v>
      </c>
      <c r="D104" s="5" t="s">
        <v>227</v>
      </c>
      <c r="E104" s="5" t="s">
        <v>117</v>
      </c>
      <c r="F104" s="5" t="s">
        <v>118</v>
      </c>
      <c r="G104" s="5" t="s">
        <v>19</v>
      </c>
      <c r="H104" s="5">
        <v>2</v>
      </c>
      <c r="I104" s="9">
        <v>89.99</v>
      </c>
      <c r="J104" s="5" t="s">
        <v>57</v>
      </c>
      <c r="K104" s="5" t="s">
        <v>63</v>
      </c>
      <c r="L104" s="5" t="s">
        <v>22</v>
      </c>
      <c r="M104" s="34">
        <v>45088</v>
      </c>
      <c r="N104" s="13">
        <v>179.98</v>
      </c>
      <c r="O104" s="16">
        <f>DATEDIF(data[[#This Row],[Customer_Since]], data[[#This Row],[Date]], "D")</f>
        <v>670</v>
      </c>
      <c r="P104" s="5" t="str">
        <f>TEXT(data[[#This Row],[Date]], "mmm")</f>
        <v>Apr</v>
      </c>
      <c r="Q104" s="5">
        <f>ROUNDUP(MONTH(data[[#This Row],[Date]])/3,0)</f>
        <v>2</v>
      </c>
    </row>
    <row r="105" spans="1:17" x14ac:dyDescent="0.3">
      <c r="A105" s="4" t="s">
        <v>176</v>
      </c>
      <c r="B105" s="34">
        <v>45471</v>
      </c>
      <c r="C105" s="5" t="s">
        <v>99</v>
      </c>
      <c r="D105" s="5" t="s">
        <v>100</v>
      </c>
      <c r="E105" s="5" t="s">
        <v>61</v>
      </c>
      <c r="F105" s="5" t="s">
        <v>62</v>
      </c>
      <c r="G105" s="5" t="s">
        <v>19</v>
      </c>
      <c r="H105" s="5">
        <v>4</v>
      </c>
      <c r="I105" s="9">
        <v>899.99</v>
      </c>
      <c r="J105" s="5" t="s">
        <v>26</v>
      </c>
      <c r="K105" s="5" t="s">
        <v>63</v>
      </c>
      <c r="L105" s="5" t="s">
        <v>27</v>
      </c>
      <c r="M105" s="34">
        <v>44993</v>
      </c>
      <c r="N105" s="13">
        <v>3599.96</v>
      </c>
      <c r="O105" s="16">
        <f>DATEDIF(data[[#This Row],[Customer_Since]], data[[#This Row],[Date]], "D")</f>
        <v>478</v>
      </c>
      <c r="P105" s="5" t="str">
        <f>TEXT(data[[#This Row],[Date]], "mmm")</f>
        <v>Jun</v>
      </c>
      <c r="Q105" s="5">
        <f>ROUNDUP(MONTH(data[[#This Row],[Date]])/3,0)</f>
        <v>2</v>
      </c>
    </row>
    <row r="106" spans="1:17" x14ac:dyDescent="0.3">
      <c r="A106" s="4" t="s">
        <v>353</v>
      </c>
      <c r="B106" s="34">
        <v>45695</v>
      </c>
      <c r="C106" s="5" t="s">
        <v>93</v>
      </c>
      <c r="D106" s="5" t="s">
        <v>94</v>
      </c>
      <c r="E106" s="5" t="s">
        <v>105</v>
      </c>
      <c r="F106" s="5" t="s">
        <v>106</v>
      </c>
      <c r="G106" s="5" t="s">
        <v>46</v>
      </c>
      <c r="H106" s="5">
        <v>5</v>
      </c>
      <c r="I106" s="9">
        <v>299.99</v>
      </c>
      <c r="J106" s="5" t="s">
        <v>26</v>
      </c>
      <c r="K106" s="5" t="s">
        <v>35</v>
      </c>
      <c r="L106" s="5" t="s">
        <v>22</v>
      </c>
      <c r="M106" s="34">
        <v>44959</v>
      </c>
      <c r="N106" s="13">
        <v>1499.95</v>
      </c>
      <c r="O106" s="16">
        <f>DATEDIF(data[[#This Row],[Customer_Since]], data[[#This Row],[Date]], "D")</f>
        <v>736</v>
      </c>
      <c r="P106" s="5" t="str">
        <f>TEXT(data[[#This Row],[Date]], "mmm")</f>
        <v>Feb</v>
      </c>
      <c r="Q106" s="5">
        <f>ROUNDUP(MONTH(data[[#This Row],[Date]])/3,0)</f>
        <v>1</v>
      </c>
    </row>
    <row r="107" spans="1:17" x14ac:dyDescent="0.3">
      <c r="A107" s="4" t="s">
        <v>339</v>
      </c>
      <c r="B107" s="34">
        <v>45673</v>
      </c>
      <c r="C107" s="5" t="s">
        <v>226</v>
      </c>
      <c r="D107" s="5" t="s">
        <v>227</v>
      </c>
      <c r="E107" s="5" t="s">
        <v>126</v>
      </c>
      <c r="F107" s="5" t="s">
        <v>127</v>
      </c>
      <c r="G107" s="5" t="s">
        <v>46</v>
      </c>
      <c r="H107" s="5">
        <v>4</v>
      </c>
      <c r="I107" s="9">
        <v>199.99</v>
      </c>
      <c r="J107" s="5" t="s">
        <v>57</v>
      </c>
      <c r="K107" s="5" t="s">
        <v>35</v>
      </c>
      <c r="L107" s="5" t="s">
        <v>36</v>
      </c>
      <c r="M107" s="34">
        <v>44544</v>
      </c>
      <c r="N107" s="13">
        <v>799.96</v>
      </c>
      <c r="O107" s="16">
        <f>DATEDIF(data[[#This Row],[Customer_Since]], data[[#This Row],[Date]], "D")</f>
        <v>1129</v>
      </c>
      <c r="P107" s="5" t="str">
        <f>TEXT(data[[#This Row],[Date]], "mmm")</f>
        <v>Jan</v>
      </c>
      <c r="Q107" s="5">
        <f>ROUNDUP(MONTH(data[[#This Row],[Date]])/3,0)</f>
        <v>1</v>
      </c>
    </row>
    <row r="108" spans="1:17" x14ac:dyDescent="0.3">
      <c r="A108" s="4" t="s">
        <v>337</v>
      </c>
      <c r="B108" s="34">
        <v>45671</v>
      </c>
      <c r="C108" s="5" t="s">
        <v>120</v>
      </c>
      <c r="D108" s="5" t="s">
        <v>121</v>
      </c>
      <c r="E108" s="5" t="s">
        <v>52</v>
      </c>
      <c r="F108" s="5" t="s">
        <v>53</v>
      </c>
      <c r="G108" s="5" t="s">
        <v>19</v>
      </c>
      <c r="H108" s="5">
        <v>2</v>
      </c>
      <c r="I108" s="9">
        <v>149.99</v>
      </c>
      <c r="J108" s="5" t="s">
        <v>20</v>
      </c>
      <c r="K108" s="5" t="s">
        <v>40</v>
      </c>
      <c r="L108" s="5" t="s">
        <v>36</v>
      </c>
      <c r="M108" s="34">
        <v>44913</v>
      </c>
      <c r="N108" s="13">
        <v>299.98</v>
      </c>
      <c r="O108" s="16">
        <f>DATEDIF(data[[#This Row],[Customer_Since]], data[[#This Row],[Date]], "D")</f>
        <v>758</v>
      </c>
      <c r="P108" s="5" t="str">
        <f>TEXT(data[[#This Row],[Date]], "mmm")</f>
        <v>Jan</v>
      </c>
      <c r="Q108" s="5">
        <f>ROUNDUP(MONTH(data[[#This Row],[Date]])/3,0)</f>
        <v>1</v>
      </c>
    </row>
    <row r="109" spans="1:17" x14ac:dyDescent="0.3">
      <c r="A109" s="4" t="s">
        <v>243</v>
      </c>
      <c r="B109" s="34">
        <v>45547</v>
      </c>
      <c r="C109" s="5" t="s">
        <v>48</v>
      </c>
      <c r="D109" s="5" t="s">
        <v>49</v>
      </c>
      <c r="E109" s="5" t="s">
        <v>105</v>
      </c>
      <c r="F109" s="5" t="s">
        <v>106</v>
      </c>
      <c r="G109" s="5" t="s">
        <v>46</v>
      </c>
      <c r="H109" s="5">
        <v>3</v>
      </c>
      <c r="I109" s="9">
        <v>299.99</v>
      </c>
      <c r="J109" s="5" t="s">
        <v>26</v>
      </c>
      <c r="K109" s="5" t="s">
        <v>21</v>
      </c>
      <c r="L109" s="5" t="s">
        <v>27</v>
      </c>
      <c r="M109" s="34">
        <v>44494</v>
      </c>
      <c r="N109" s="13">
        <v>899.97</v>
      </c>
      <c r="O109" s="16">
        <f>DATEDIF(data[[#This Row],[Customer_Since]], data[[#This Row],[Date]], "D")</f>
        <v>1053</v>
      </c>
      <c r="P109" s="5" t="str">
        <f>TEXT(data[[#This Row],[Date]], "mmm")</f>
        <v>Sep</v>
      </c>
      <c r="Q109" s="5">
        <f>ROUNDUP(MONTH(data[[#This Row],[Date]])/3,0)</f>
        <v>3</v>
      </c>
    </row>
    <row r="110" spans="1:17" x14ac:dyDescent="0.3">
      <c r="A110" s="4" t="s">
        <v>280</v>
      </c>
      <c r="B110" s="34">
        <v>45604</v>
      </c>
      <c r="C110" s="5" t="s">
        <v>89</v>
      </c>
      <c r="D110" s="5" t="s">
        <v>90</v>
      </c>
      <c r="E110" s="5" t="s">
        <v>44</v>
      </c>
      <c r="F110" s="5" t="s">
        <v>45</v>
      </c>
      <c r="G110" s="5" t="s">
        <v>46</v>
      </c>
      <c r="H110" s="5">
        <v>2</v>
      </c>
      <c r="I110" s="9">
        <v>149.99</v>
      </c>
      <c r="J110" s="5" t="s">
        <v>26</v>
      </c>
      <c r="K110" s="5" t="s">
        <v>50</v>
      </c>
      <c r="L110" s="5" t="s">
        <v>27</v>
      </c>
      <c r="M110" s="34">
        <v>44848</v>
      </c>
      <c r="N110" s="13">
        <v>299.98</v>
      </c>
      <c r="O110" s="16">
        <f>DATEDIF(data[[#This Row],[Customer_Since]], data[[#This Row],[Date]], "D")</f>
        <v>756</v>
      </c>
      <c r="P110" s="5" t="str">
        <f>TEXT(data[[#This Row],[Date]], "mmm")</f>
        <v>Nov</v>
      </c>
      <c r="Q110" s="5">
        <f>ROUNDUP(MONTH(data[[#This Row],[Date]])/3,0)</f>
        <v>4</v>
      </c>
    </row>
    <row r="111" spans="1:17" x14ac:dyDescent="0.3">
      <c r="A111" s="4" t="s">
        <v>342</v>
      </c>
      <c r="B111" s="34">
        <v>45676</v>
      </c>
      <c r="C111" s="5" t="s">
        <v>129</v>
      </c>
      <c r="D111" s="5" t="s">
        <v>130</v>
      </c>
      <c r="E111" s="5" t="s">
        <v>31</v>
      </c>
      <c r="F111" s="5" t="s">
        <v>32</v>
      </c>
      <c r="G111" s="5" t="s">
        <v>33</v>
      </c>
      <c r="H111" s="5">
        <v>5</v>
      </c>
      <c r="I111" s="9">
        <v>59.99</v>
      </c>
      <c r="J111" s="5" t="s">
        <v>57</v>
      </c>
      <c r="K111" s="5" t="s">
        <v>63</v>
      </c>
      <c r="L111" s="5" t="s">
        <v>22</v>
      </c>
      <c r="M111" s="34">
        <v>44642</v>
      </c>
      <c r="N111" s="13">
        <v>299.95</v>
      </c>
      <c r="O111" s="16">
        <f>DATEDIF(data[[#This Row],[Customer_Since]], data[[#This Row],[Date]], "D")</f>
        <v>1034</v>
      </c>
      <c r="P111" s="5" t="str">
        <f>TEXT(data[[#This Row],[Date]], "mmm")</f>
        <v>Jan</v>
      </c>
      <c r="Q111" s="5">
        <f>ROUNDUP(MONTH(data[[#This Row],[Date]])/3,0)</f>
        <v>1</v>
      </c>
    </row>
    <row r="112" spans="1:17" x14ac:dyDescent="0.3">
      <c r="A112" s="4" t="s">
        <v>251</v>
      </c>
      <c r="B112" s="34">
        <v>45554</v>
      </c>
      <c r="C112" s="5" t="s">
        <v>252</v>
      </c>
      <c r="D112" s="5" t="s">
        <v>253</v>
      </c>
      <c r="E112" s="5" t="s">
        <v>52</v>
      </c>
      <c r="F112" s="5" t="s">
        <v>53</v>
      </c>
      <c r="G112" s="5" t="s">
        <v>19</v>
      </c>
      <c r="H112" s="5">
        <v>1</v>
      </c>
      <c r="I112" s="9">
        <v>149.99</v>
      </c>
      <c r="J112" s="5" t="s">
        <v>34</v>
      </c>
      <c r="K112" s="5" t="s">
        <v>63</v>
      </c>
      <c r="L112" s="5" t="s">
        <v>36</v>
      </c>
      <c r="M112" s="34">
        <v>44482</v>
      </c>
      <c r="N112" s="13">
        <v>149.99</v>
      </c>
      <c r="O112" s="16">
        <f>DATEDIF(data[[#This Row],[Customer_Since]], data[[#This Row],[Date]], "D")</f>
        <v>1072</v>
      </c>
      <c r="P112" s="5" t="str">
        <f>TEXT(data[[#This Row],[Date]], "mmm")</f>
        <v>Sep</v>
      </c>
      <c r="Q112" s="5">
        <f>ROUNDUP(MONTH(data[[#This Row],[Date]])/3,0)</f>
        <v>3</v>
      </c>
    </row>
    <row r="113" spans="1:17" x14ac:dyDescent="0.3">
      <c r="A113" s="4" t="s">
        <v>241</v>
      </c>
      <c r="B113" s="34">
        <v>45544</v>
      </c>
      <c r="C113" s="5" t="s">
        <v>141</v>
      </c>
      <c r="D113" s="5" t="s">
        <v>142</v>
      </c>
      <c r="E113" s="5" t="s">
        <v>114</v>
      </c>
      <c r="F113" s="5" t="s">
        <v>115</v>
      </c>
      <c r="G113" s="5" t="s">
        <v>33</v>
      </c>
      <c r="H113" s="5">
        <v>4</v>
      </c>
      <c r="I113" s="9">
        <v>79.989999999999995</v>
      </c>
      <c r="J113" s="5" t="s">
        <v>20</v>
      </c>
      <c r="K113" s="5" t="s">
        <v>40</v>
      </c>
      <c r="L113" s="5" t="s">
        <v>22</v>
      </c>
      <c r="M113" s="34">
        <v>44530</v>
      </c>
      <c r="N113" s="13">
        <v>319.95999999999998</v>
      </c>
      <c r="O113" s="16">
        <f>DATEDIF(data[[#This Row],[Customer_Since]], data[[#This Row],[Date]], "D")</f>
        <v>1014</v>
      </c>
      <c r="P113" s="5" t="str">
        <f>TEXT(data[[#This Row],[Date]], "mmm")</f>
        <v>Sep</v>
      </c>
      <c r="Q113" s="5">
        <f>ROUNDUP(MONTH(data[[#This Row],[Date]])/3,0)</f>
        <v>3</v>
      </c>
    </row>
    <row r="114" spans="1:17" x14ac:dyDescent="0.3">
      <c r="A114" s="4" t="s">
        <v>187</v>
      </c>
      <c r="B114" s="34">
        <v>45481</v>
      </c>
      <c r="C114" s="5" t="s">
        <v>42</v>
      </c>
      <c r="D114" s="5" t="s">
        <v>43</v>
      </c>
      <c r="E114" s="5" t="s">
        <v>80</v>
      </c>
      <c r="F114" s="5" t="s">
        <v>81</v>
      </c>
      <c r="G114" s="5" t="s">
        <v>19</v>
      </c>
      <c r="H114" s="5">
        <v>2</v>
      </c>
      <c r="I114" s="9">
        <v>699.99</v>
      </c>
      <c r="J114" s="5" t="s">
        <v>34</v>
      </c>
      <c r="K114" s="5" t="s">
        <v>63</v>
      </c>
      <c r="L114" s="5" t="s">
        <v>27</v>
      </c>
      <c r="M114" s="34">
        <v>45389</v>
      </c>
      <c r="N114" s="13">
        <v>1399.98</v>
      </c>
      <c r="O114" s="16">
        <f>DATEDIF(data[[#This Row],[Customer_Since]], data[[#This Row],[Date]], "D")</f>
        <v>92</v>
      </c>
      <c r="P114" s="5" t="str">
        <f>TEXT(data[[#This Row],[Date]], "mmm")</f>
        <v>Jul</v>
      </c>
      <c r="Q114" s="5">
        <f>ROUNDUP(MONTH(data[[#This Row],[Date]])/3,0)</f>
        <v>3</v>
      </c>
    </row>
    <row r="115" spans="1:17" x14ac:dyDescent="0.3">
      <c r="A115" s="4" t="s">
        <v>188</v>
      </c>
      <c r="B115" s="34">
        <v>45481</v>
      </c>
      <c r="C115" s="5" t="s">
        <v>96</v>
      </c>
      <c r="D115" s="5" t="s">
        <v>97</v>
      </c>
      <c r="E115" s="5" t="s">
        <v>117</v>
      </c>
      <c r="F115" s="5" t="s">
        <v>118</v>
      </c>
      <c r="G115" s="5" t="s">
        <v>19</v>
      </c>
      <c r="H115" s="5">
        <v>5</v>
      </c>
      <c r="I115" s="9">
        <v>89.99</v>
      </c>
      <c r="J115" s="5" t="s">
        <v>57</v>
      </c>
      <c r="K115" s="5" t="s">
        <v>40</v>
      </c>
      <c r="L115" s="5" t="s">
        <v>27</v>
      </c>
      <c r="M115" s="34">
        <v>45161</v>
      </c>
      <c r="N115" s="13">
        <v>449.95</v>
      </c>
      <c r="O115" s="16">
        <f>DATEDIF(data[[#This Row],[Customer_Since]], data[[#This Row],[Date]], "D")</f>
        <v>320</v>
      </c>
      <c r="P115" s="5" t="str">
        <f>TEXT(data[[#This Row],[Date]], "mmm")</f>
        <v>Jul</v>
      </c>
      <c r="Q115" s="5">
        <f>ROUNDUP(MONTH(data[[#This Row],[Date]])/3,0)</f>
        <v>3</v>
      </c>
    </row>
    <row r="116" spans="1:17" x14ac:dyDescent="0.3">
      <c r="A116" s="4" t="s">
        <v>165</v>
      </c>
      <c r="B116" s="34">
        <v>45459</v>
      </c>
      <c r="C116" s="5" t="s">
        <v>99</v>
      </c>
      <c r="D116" s="5" t="s">
        <v>100</v>
      </c>
      <c r="E116" s="5" t="s">
        <v>117</v>
      </c>
      <c r="F116" s="5" t="s">
        <v>118</v>
      </c>
      <c r="G116" s="5" t="s">
        <v>19</v>
      </c>
      <c r="H116" s="5">
        <v>2</v>
      </c>
      <c r="I116" s="9">
        <v>89.99</v>
      </c>
      <c r="J116" s="5" t="s">
        <v>26</v>
      </c>
      <c r="K116" s="5" t="s">
        <v>35</v>
      </c>
      <c r="L116" s="5" t="s">
        <v>27</v>
      </c>
      <c r="M116" s="34">
        <v>44471</v>
      </c>
      <c r="N116" s="13">
        <v>179.98</v>
      </c>
      <c r="O116" s="16">
        <f>DATEDIF(data[[#This Row],[Customer_Since]], data[[#This Row],[Date]], "D")</f>
        <v>988</v>
      </c>
      <c r="P116" s="5" t="str">
        <f>TEXT(data[[#This Row],[Date]], "mmm")</f>
        <v>Jun</v>
      </c>
      <c r="Q116" s="5">
        <f>ROUNDUP(MONTH(data[[#This Row],[Date]])/3,0)</f>
        <v>2</v>
      </c>
    </row>
    <row r="117" spans="1:17" x14ac:dyDescent="0.3">
      <c r="A117" s="4" t="s">
        <v>395</v>
      </c>
      <c r="B117" s="34">
        <v>45756</v>
      </c>
      <c r="C117" s="5" t="s">
        <v>59</v>
      </c>
      <c r="D117" s="5" t="s">
        <v>60</v>
      </c>
      <c r="E117" s="5" t="s">
        <v>117</v>
      </c>
      <c r="F117" s="5" t="s">
        <v>118</v>
      </c>
      <c r="G117" s="5" t="s">
        <v>19</v>
      </c>
      <c r="H117" s="5">
        <v>1</v>
      </c>
      <c r="I117" s="9">
        <v>89.99</v>
      </c>
      <c r="J117" s="5" t="s">
        <v>57</v>
      </c>
      <c r="K117" s="5" t="s">
        <v>63</v>
      </c>
      <c r="L117" s="5" t="s">
        <v>22</v>
      </c>
      <c r="M117" s="34">
        <v>45346</v>
      </c>
      <c r="N117" s="13">
        <v>89.99</v>
      </c>
      <c r="O117" s="16">
        <f>DATEDIF(data[[#This Row],[Customer_Since]], data[[#This Row],[Date]], "D")</f>
        <v>410</v>
      </c>
      <c r="P117" s="5" t="str">
        <f>TEXT(data[[#This Row],[Date]], "mmm")</f>
        <v>Apr</v>
      </c>
      <c r="Q117" s="5">
        <f>ROUNDUP(MONTH(data[[#This Row],[Date]])/3,0)</f>
        <v>2</v>
      </c>
    </row>
    <row r="118" spans="1:17" x14ac:dyDescent="0.3">
      <c r="A118" s="4" t="s">
        <v>152</v>
      </c>
      <c r="B118" s="34">
        <v>45444</v>
      </c>
      <c r="C118" s="5" t="s">
        <v>55</v>
      </c>
      <c r="D118" s="5" t="s">
        <v>56</v>
      </c>
      <c r="E118" s="5" t="s">
        <v>117</v>
      </c>
      <c r="F118" s="5" t="s">
        <v>118</v>
      </c>
      <c r="G118" s="5" t="s">
        <v>19</v>
      </c>
      <c r="H118" s="5">
        <v>1</v>
      </c>
      <c r="I118" s="9">
        <v>89.99</v>
      </c>
      <c r="J118" s="5" t="s">
        <v>20</v>
      </c>
      <c r="K118" s="5" t="s">
        <v>40</v>
      </c>
      <c r="L118" s="5" t="s">
        <v>22</v>
      </c>
      <c r="M118" s="34">
        <v>45141</v>
      </c>
      <c r="N118" s="13">
        <v>89.99</v>
      </c>
      <c r="O118" s="16">
        <f>DATEDIF(data[[#This Row],[Customer_Since]], data[[#This Row],[Date]], "D")</f>
        <v>303</v>
      </c>
      <c r="P118" s="5" t="str">
        <f>TEXT(data[[#This Row],[Date]], "mmm")</f>
        <v>Jun</v>
      </c>
      <c r="Q118" s="5">
        <f>ROUNDUP(MONTH(data[[#This Row],[Date]])/3,0)</f>
        <v>2</v>
      </c>
    </row>
    <row r="119" spans="1:17" x14ac:dyDescent="0.3">
      <c r="A119" s="4" t="s">
        <v>358</v>
      </c>
      <c r="B119" s="34">
        <v>45705</v>
      </c>
      <c r="C119" s="5" t="s">
        <v>259</v>
      </c>
      <c r="D119" s="5" t="s">
        <v>260</v>
      </c>
      <c r="E119" s="5" t="s">
        <v>44</v>
      </c>
      <c r="F119" s="5" t="s">
        <v>45</v>
      </c>
      <c r="G119" s="5" t="s">
        <v>46</v>
      </c>
      <c r="H119" s="5">
        <v>2</v>
      </c>
      <c r="I119" s="9">
        <v>149.99</v>
      </c>
      <c r="J119" s="5" t="s">
        <v>20</v>
      </c>
      <c r="K119" s="5" t="s">
        <v>35</v>
      </c>
      <c r="L119" s="5" t="s">
        <v>27</v>
      </c>
      <c r="M119" s="34">
        <v>44728</v>
      </c>
      <c r="N119" s="13">
        <v>299.98</v>
      </c>
      <c r="O119" s="16">
        <f>DATEDIF(data[[#This Row],[Customer_Since]], data[[#This Row],[Date]], "D")</f>
        <v>977</v>
      </c>
      <c r="P119" s="5" t="str">
        <f>TEXT(data[[#This Row],[Date]], "mmm")</f>
        <v>Feb</v>
      </c>
      <c r="Q119" s="5">
        <f>ROUNDUP(MONTH(data[[#This Row],[Date]])/3,0)</f>
        <v>1</v>
      </c>
    </row>
    <row r="120" spans="1:17" x14ac:dyDescent="0.3">
      <c r="A120" s="4" t="s">
        <v>256</v>
      </c>
      <c r="B120" s="34">
        <v>45560</v>
      </c>
      <c r="C120" s="5" t="s">
        <v>112</v>
      </c>
      <c r="D120" s="5" t="s">
        <v>113</v>
      </c>
      <c r="E120" s="5" t="s">
        <v>44</v>
      </c>
      <c r="F120" s="5" t="s">
        <v>45</v>
      </c>
      <c r="G120" s="5" t="s">
        <v>46</v>
      </c>
      <c r="H120" s="5">
        <v>3</v>
      </c>
      <c r="I120" s="9">
        <v>149.99</v>
      </c>
      <c r="J120" s="5" t="s">
        <v>34</v>
      </c>
      <c r="K120" s="5" t="s">
        <v>63</v>
      </c>
      <c r="L120" s="5" t="s">
        <v>22</v>
      </c>
      <c r="M120" s="34">
        <v>44886</v>
      </c>
      <c r="N120" s="13">
        <v>449.97</v>
      </c>
      <c r="O120" s="16">
        <f>DATEDIF(data[[#This Row],[Customer_Since]], data[[#This Row],[Date]], "D")</f>
        <v>674</v>
      </c>
      <c r="P120" s="5" t="str">
        <f>TEXT(data[[#This Row],[Date]], "mmm")</f>
        <v>Sep</v>
      </c>
      <c r="Q120" s="5">
        <f>ROUNDUP(MONTH(data[[#This Row],[Date]])/3,0)</f>
        <v>3</v>
      </c>
    </row>
    <row r="121" spans="1:17" x14ac:dyDescent="0.3">
      <c r="A121" s="4" t="s">
        <v>396</v>
      </c>
      <c r="B121" s="34">
        <v>45758</v>
      </c>
      <c r="C121" s="5" t="s">
        <v>293</v>
      </c>
      <c r="D121" s="5" t="s">
        <v>294</v>
      </c>
      <c r="E121" s="5" t="s">
        <v>80</v>
      </c>
      <c r="F121" s="5" t="s">
        <v>81</v>
      </c>
      <c r="G121" s="5" t="s">
        <v>19</v>
      </c>
      <c r="H121" s="5">
        <v>3</v>
      </c>
      <c r="I121" s="9">
        <v>699.99</v>
      </c>
      <c r="J121" s="5" t="s">
        <v>34</v>
      </c>
      <c r="K121" s="5" t="s">
        <v>40</v>
      </c>
      <c r="L121" s="5" t="s">
        <v>22</v>
      </c>
      <c r="M121" s="34">
        <v>44909</v>
      </c>
      <c r="N121" s="13">
        <v>2099.9699999999998</v>
      </c>
      <c r="O121" s="16">
        <f>DATEDIF(data[[#This Row],[Customer_Since]], data[[#This Row],[Date]], "D")</f>
        <v>849</v>
      </c>
      <c r="P121" s="5" t="str">
        <f>TEXT(data[[#This Row],[Date]], "mmm")</f>
        <v>Apr</v>
      </c>
      <c r="Q121" s="5">
        <f>ROUNDUP(MONTH(data[[#This Row],[Date]])/3,0)</f>
        <v>2</v>
      </c>
    </row>
    <row r="122" spans="1:17" x14ac:dyDescent="0.3">
      <c r="A122" s="4" t="s">
        <v>157</v>
      </c>
      <c r="B122" s="34">
        <v>45449</v>
      </c>
      <c r="C122" s="5" t="s">
        <v>158</v>
      </c>
      <c r="D122" s="5" t="s">
        <v>159</v>
      </c>
      <c r="E122" s="5" t="s">
        <v>117</v>
      </c>
      <c r="F122" s="5" t="s">
        <v>118</v>
      </c>
      <c r="G122" s="5" t="s">
        <v>19</v>
      </c>
      <c r="H122" s="5">
        <v>1</v>
      </c>
      <c r="I122" s="9">
        <v>89.99</v>
      </c>
      <c r="J122" s="5" t="s">
        <v>26</v>
      </c>
      <c r="K122" s="5" t="s">
        <v>35</v>
      </c>
      <c r="L122" s="5" t="s">
        <v>36</v>
      </c>
      <c r="M122" s="34">
        <v>44582</v>
      </c>
      <c r="N122" s="13">
        <v>89.99</v>
      </c>
      <c r="O122" s="16">
        <f>DATEDIF(data[[#This Row],[Customer_Since]], data[[#This Row],[Date]], "D")</f>
        <v>867</v>
      </c>
      <c r="P122" s="5" t="str">
        <f>TEXT(data[[#This Row],[Date]], "mmm")</f>
        <v>Jun</v>
      </c>
      <c r="Q122" s="5">
        <f>ROUNDUP(MONTH(data[[#This Row],[Date]])/3,0)</f>
        <v>2</v>
      </c>
    </row>
    <row r="123" spans="1:17" x14ac:dyDescent="0.3">
      <c r="A123" s="4" t="s">
        <v>91</v>
      </c>
      <c r="B123" s="34">
        <v>45410</v>
      </c>
      <c r="C123" s="5" t="s">
        <v>86</v>
      </c>
      <c r="D123" s="5" t="s">
        <v>87</v>
      </c>
      <c r="E123" s="5" t="s">
        <v>61</v>
      </c>
      <c r="F123" s="5" t="s">
        <v>62</v>
      </c>
      <c r="G123" s="5" t="s">
        <v>19</v>
      </c>
      <c r="H123" s="5">
        <v>4</v>
      </c>
      <c r="I123" s="9">
        <v>899.99</v>
      </c>
      <c r="J123" s="5" t="s">
        <v>26</v>
      </c>
      <c r="K123" s="5" t="s">
        <v>50</v>
      </c>
      <c r="L123" s="5" t="s">
        <v>36</v>
      </c>
      <c r="M123" s="34">
        <v>45327</v>
      </c>
      <c r="N123" s="13">
        <v>3599.96</v>
      </c>
      <c r="O123" s="16">
        <f>DATEDIF(data[[#This Row],[Customer_Since]], data[[#This Row],[Date]], "D")</f>
        <v>83</v>
      </c>
      <c r="P123" s="5" t="str">
        <f>TEXT(data[[#This Row],[Date]], "mmm")</f>
        <v>Apr</v>
      </c>
      <c r="Q123" s="5">
        <f>ROUNDUP(MONTH(data[[#This Row],[Date]])/3,0)</f>
        <v>2</v>
      </c>
    </row>
    <row r="124" spans="1:17" x14ac:dyDescent="0.3">
      <c r="A124" s="4" t="s">
        <v>254</v>
      </c>
      <c r="B124" s="34">
        <v>45554</v>
      </c>
      <c r="C124" s="5" t="s">
        <v>72</v>
      </c>
      <c r="D124" s="5" t="s">
        <v>73</v>
      </c>
      <c r="E124" s="5" t="s">
        <v>80</v>
      </c>
      <c r="F124" s="5" t="s">
        <v>81</v>
      </c>
      <c r="G124" s="5" t="s">
        <v>19</v>
      </c>
      <c r="H124" s="5">
        <v>4</v>
      </c>
      <c r="I124" s="9">
        <v>699.99</v>
      </c>
      <c r="J124" s="5" t="s">
        <v>34</v>
      </c>
      <c r="K124" s="5" t="s">
        <v>35</v>
      </c>
      <c r="L124" s="5" t="s">
        <v>22</v>
      </c>
      <c r="M124" s="34">
        <v>44618</v>
      </c>
      <c r="N124" s="13">
        <v>2799.96</v>
      </c>
      <c r="O124" s="16">
        <f>DATEDIF(data[[#This Row],[Customer_Since]], data[[#This Row],[Date]], "D")</f>
        <v>936</v>
      </c>
      <c r="P124" s="5" t="str">
        <f>TEXT(data[[#This Row],[Date]], "mmm")</f>
        <v>Sep</v>
      </c>
      <c r="Q124" s="5">
        <f>ROUNDUP(MONTH(data[[#This Row],[Date]])/3,0)</f>
        <v>3</v>
      </c>
    </row>
    <row r="125" spans="1:17" x14ac:dyDescent="0.3">
      <c r="A125" s="4" t="s">
        <v>382</v>
      </c>
      <c r="B125" s="34">
        <v>45737</v>
      </c>
      <c r="C125" s="5" t="s">
        <v>150</v>
      </c>
      <c r="D125" s="5" t="s">
        <v>151</v>
      </c>
      <c r="E125" s="5" t="s">
        <v>61</v>
      </c>
      <c r="F125" s="5" t="s">
        <v>62</v>
      </c>
      <c r="G125" s="5" t="s">
        <v>19</v>
      </c>
      <c r="H125" s="5">
        <v>3</v>
      </c>
      <c r="I125" s="9">
        <v>899.99</v>
      </c>
      <c r="J125" s="5" t="s">
        <v>57</v>
      </c>
      <c r="K125" s="5" t="s">
        <v>40</v>
      </c>
      <c r="L125" s="5" t="s">
        <v>27</v>
      </c>
      <c r="M125" s="34">
        <v>44876</v>
      </c>
      <c r="N125" s="13">
        <v>2699.97</v>
      </c>
      <c r="O125" s="16">
        <f>DATEDIF(data[[#This Row],[Customer_Since]], data[[#This Row],[Date]], "D")</f>
        <v>861</v>
      </c>
      <c r="P125" s="5" t="str">
        <f>TEXT(data[[#This Row],[Date]], "mmm")</f>
        <v>Mar</v>
      </c>
      <c r="Q125" s="5">
        <f>ROUNDUP(MONTH(data[[#This Row],[Date]])/3,0)</f>
        <v>1</v>
      </c>
    </row>
    <row r="126" spans="1:17" x14ac:dyDescent="0.3">
      <c r="A126" s="4" t="s">
        <v>329</v>
      </c>
      <c r="B126" s="34">
        <v>45666</v>
      </c>
      <c r="C126" s="5" t="s">
        <v>65</v>
      </c>
      <c r="D126" s="5" t="s">
        <v>66</v>
      </c>
      <c r="E126" s="5" t="s">
        <v>80</v>
      </c>
      <c r="F126" s="5" t="s">
        <v>81</v>
      </c>
      <c r="G126" s="5" t="s">
        <v>19</v>
      </c>
      <c r="H126" s="5">
        <v>3</v>
      </c>
      <c r="I126" s="9">
        <v>699.99</v>
      </c>
      <c r="J126" s="5" t="s">
        <v>26</v>
      </c>
      <c r="K126" s="5" t="s">
        <v>21</v>
      </c>
      <c r="L126" s="5" t="s">
        <v>27</v>
      </c>
      <c r="M126" s="34">
        <v>45105</v>
      </c>
      <c r="N126" s="13">
        <v>2099.9699999999998</v>
      </c>
      <c r="O126" s="16">
        <f>DATEDIF(data[[#This Row],[Customer_Since]], data[[#This Row],[Date]], "D")</f>
        <v>561</v>
      </c>
      <c r="P126" s="5" t="str">
        <f>TEXT(data[[#This Row],[Date]], "mmm")</f>
        <v>Jan</v>
      </c>
      <c r="Q126" s="5">
        <f>ROUNDUP(MONTH(data[[#This Row],[Date]])/3,0)</f>
        <v>1</v>
      </c>
    </row>
    <row r="127" spans="1:17" x14ac:dyDescent="0.3">
      <c r="A127" s="4" t="s">
        <v>343</v>
      </c>
      <c r="B127" s="34">
        <v>45682</v>
      </c>
      <c r="C127" s="5" t="s">
        <v>68</v>
      </c>
      <c r="D127" s="5" t="s">
        <v>69</v>
      </c>
      <c r="E127" s="5" t="s">
        <v>31</v>
      </c>
      <c r="F127" s="5" t="s">
        <v>32</v>
      </c>
      <c r="G127" s="5" t="s">
        <v>33</v>
      </c>
      <c r="H127" s="5">
        <v>4</v>
      </c>
      <c r="I127" s="9">
        <v>59.99</v>
      </c>
      <c r="J127" s="5" t="s">
        <v>57</v>
      </c>
      <c r="K127" s="5" t="s">
        <v>63</v>
      </c>
      <c r="L127" s="5" t="s">
        <v>36</v>
      </c>
      <c r="M127" s="34">
        <v>44564</v>
      </c>
      <c r="N127" s="13">
        <v>239.96</v>
      </c>
      <c r="O127" s="16">
        <f>DATEDIF(data[[#This Row],[Customer_Since]], data[[#This Row],[Date]], "D")</f>
        <v>1118</v>
      </c>
      <c r="P127" s="5" t="str">
        <f>TEXT(data[[#This Row],[Date]], "mmm")</f>
        <v>Jan</v>
      </c>
      <c r="Q127" s="5">
        <f>ROUNDUP(MONTH(data[[#This Row],[Date]])/3,0)</f>
        <v>1</v>
      </c>
    </row>
    <row r="128" spans="1:17" x14ac:dyDescent="0.3">
      <c r="A128" s="4" t="s">
        <v>177</v>
      </c>
      <c r="B128" s="34">
        <v>45472</v>
      </c>
      <c r="C128" s="5" t="s">
        <v>120</v>
      </c>
      <c r="D128" s="5" t="s">
        <v>121</v>
      </c>
      <c r="E128" s="5" t="s">
        <v>44</v>
      </c>
      <c r="F128" s="5" t="s">
        <v>45</v>
      </c>
      <c r="G128" s="5" t="s">
        <v>46</v>
      </c>
      <c r="H128" s="5">
        <v>1</v>
      </c>
      <c r="I128" s="9">
        <v>149.99</v>
      </c>
      <c r="J128" s="5" t="s">
        <v>34</v>
      </c>
      <c r="K128" s="5" t="s">
        <v>63</v>
      </c>
      <c r="L128" s="5" t="s">
        <v>22</v>
      </c>
      <c r="M128" s="34">
        <v>44851</v>
      </c>
      <c r="N128" s="13">
        <v>149.99</v>
      </c>
      <c r="O128" s="16">
        <f>DATEDIF(data[[#This Row],[Customer_Since]], data[[#This Row],[Date]], "D")</f>
        <v>621</v>
      </c>
      <c r="P128" s="5" t="str">
        <f>TEXT(data[[#This Row],[Date]], "mmm")</f>
        <v>Jun</v>
      </c>
      <c r="Q128" s="5">
        <f>ROUNDUP(MONTH(data[[#This Row],[Date]])/3,0)</f>
        <v>2</v>
      </c>
    </row>
    <row r="129" spans="1:17" x14ac:dyDescent="0.3">
      <c r="A129" s="4" t="s">
        <v>149</v>
      </c>
      <c r="B129" s="34">
        <v>45444</v>
      </c>
      <c r="C129" s="5" t="s">
        <v>150</v>
      </c>
      <c r="D129" s="5" t="s">
        <v>151</v>
      </c>
      <c r="E129" s="5" t="s">
        <v>31</v>
      </c>
      <c r="F129" s="5" t="s">
        <v>32</v>
      </c>
      <c r="G129" s="5" t="s">
        <v>33</v>
      </c>
      <c r="H129" s="5">
        <v>2</v>
      </c>
      <c r="I129" s="9">
        <v>59.99</v>
      </c>
      <c r="J129" s="5" t="s">
        <v>20</v>
      </c>
      <c r="K129" s="5" t="s">
        <v>50</v>
      </c>
      <c r="L129" s="5" t="s">
        <v>22</v>
      </c>
      <c r="M129" s="34">
        <v>45390</v>
      </c>
      <c r="N129" s="13">
        <v>119.98</v>
      </c>
      <c r="O129" s="16">
        <f>DATEDIF(data[[#This Row],[Customer_Since]], data[[#This Row],[Date]], "D")</f>
        <v>54</v>
      </c>
      <c r="P129" s="5" t="str">
        <f>TEXT(data[[#This Row],[Date]], "mmm")</f>
        <v>Jun</v>
      </c>
      <c r="Q129" s="5">
        <f>ROUNDUP(MONTH(data[[#This Row],[Date]])/3,0)</f>
        <v>2</v>
      </c>
    </row>
    <row r="130" spans="1:17" x14ac:dyDescent="0.3">
      <c r="A130" s="4" t="s">
        <v>258</v>
      </c>
      <c r="B130" s="34">
        <v>45564</v>
      </c>
      <c r="C130" s="5" t="s">
        <v>259</v>
      </c>
      <c r="D130" s="5" t="s">
        <v>260</v>
      </c>
      <c r="E130" s="5" t="s">
        <v>126</v>
      </c>
      <c r="F130" s="5" t="s">
        <v>127</v>
      </c>
      <c r="G130" s="5" t="s">
        <v>46</v>
      </c>
      <c r="H130" s="5">
        <v>1</v>
      </c>
      <c r="I130" s="9">
        <v>199.99</v>
      </c>
      <c r="J130" s="5" t="s">
        <v>57</v>
      </c>
      <c r="K130" s="5" t="s">
        <v>63</v>
      </c>
      <c r="L130" s="5" t="s">
        <v>36</v>
      </c>
      <c r="M130" s="34">
        <v>44953</v>
      </c>
      <c r="N130" s="13">
        <v>199.99</v>
      </c>
      <c r="O130" s="16">
        <f>DATEDIF(data[[#This Row],[Customer_Since]], data[[#This Row],[Date]], "D")</f>
        <v>611</v>
      </c>
      <c r="P130" s="5" t="str">
        <f>TEXT(data[[#This Row],[Date]], "mmm")</f>
        <v>Sep</v>
      </c>
      <c r="Q130" s="5">
        <f>ROUNDUP(MONTH(data[[#This Row],[Date]])/3,0)</f>
        <v>3</v>
      </c>
    </row>
    <row r="131" spans="1:17" x14ac:dyDescent="0.3">
      <c r="A131" s="4" t="s">
        <v>131</v>
      </c>
      <c r="B131" s="34">
        <v>45430</v>
      </c>
      <c r="C131" s="5" t="s">
        <v>132</v>
      </c>
      <c r="D131" s="5" t="s">
        <v>133</v>
      </c>
      <c r="E131" s="5" t="s">
        <v>44</v>
      </c>
      <c r="F131" s="5" t="s">
        <v>45</v>
      </c>
      <c r="G131" s="5" t="s">
        <v>46</v>
      </c>
      <c r="H131" s="5">
        <v>3</v>
      </c>
      <c r="I131" s="9">
        <v>149.99</v>
      </c>
      <c r="J131" s="5" t="s">
        <v>26</v>
      </c>
      <c r="K131" s="5" t="s">
        <v>50</v>
      </c>
      <c r="L131" s="5" t="s">
        <v>27</v>
      </c>
      <c r="M131" s="34">
        <v>45068</v>
      </c>
      <c r="N131" s="13">
        <v>449.97</v>
      </c>
      <c r="O131" s="16">
        <f>DATEDIF(data[[#This Row],[Customer_Since]], data[[#This Row],[Date]], "D")</f>
        <v>362</v>
      </c>
      <c r="P131" s="5" t="str">
        <f>TEXT(data[[#This Row],[Date]], "mmm")</f>
        <v>May</v>
      </c>
      <c r="Q131" s="5">
        <f>ROUNDUP(MONTH(data[[#This Row],[Date]])/3,0)</f>
        <v>2</v>
      </c>
    </row>
    <row r="132" spans="1:17" x14ac:dyDescent="0.3">
      <c r="A132" s="4" t="s">
        <v>199</v>
      </c>
      <c r="B132" s="34">
        <v>45491</v>
      </c>
      <c r="C132" s="5" t="s">
        <v>65</v>
      </c>
      <c r="D132" s="5" t="s">
        <v>66</v>
      </c>
      <c r="E132" s="5" t="s">
        <v>126</v>
      </c>
      <c r="F132" s="5" t="s">
        <v>127</v>
      </c>
      <c r="G132" s="5" t="s">
        <v>46</v>
      </c>
      <c r="H132" s="5">
        <v>3</v>
      </c>
      <c r="I132" s="9">
        <v>199.99</v>
      </c>
      <c r="J132" s="5" t="s">
        <v>20</v>
      </c>
      <c r="K132" s="5" t="s">
        <v>40</v>
      </c>
      <c r="L132" s="5" t="s">
        <v>27</v>
      </c>
      <c r="M132" s="34">
        <v>45254</v>
      </c>
      <c r="N132" s="13">
        <v>599.97</v>
      </c>
      <c r="O132" s="16">
        <f>DATEDIF(data[[#This Row],[Customer_Since]], data[[#This Row],[Date]], "D")</f>
        <v>237</v>
      </c>
      <c r="P132" s="5" t="str">
        <f>TEXT(data[[#This Row],[Date]], "mmm")</f>
        <v>Jul</v>
      </c>
      <c r="Q132" s="5">
        <f>ROUNDUP(MONTH(data[[#This Row],[Date]])/3,0)</f>
        <v>3</v>
      </c>
    </row>
    <row r="133" spans="1:17" x14ac:dyDescent="0.3">
      <c r="A133" s="4" t="s">
        <v>222</v>
      </c>
      <c r="B133" s="34">
        <v>45523</v>
      </c>
      <c r="C133" s="5" t="s">
        <v>196</v>
      </c>
      <c r="D133" s="5" t="s">
        <v>197</v>
      </c>
      <c r="E133" s="5" t="s">
        <v>61</v>
      </c>
      <c r="F133" s="5" t="s">
        <v>62</v>
      </c>
      <c r="G133" s="5" t="s">
        <v>19</v>
      </c>
      <c r="H133" s="5">
        <v>5</v>
      </c>
      <c r="I133" s="9">
        <v>899.99</v>
      </c>
      <c r="J133" s="5" t="s">
        <v>57</v>
      </c>
      <c r="K133" s="5" t="s">
        <v>63</v>
      </c>
      <c r="L133" s="5" t="s">
        <v>22</v>
      </c>
      <c r="M133" s="34">
        <v>44526</v>
      </c>
      <c r="N133" s="13">
        <v>4499.95</v>
      </c>
      <c r="O133" s="16">
        <f>DATEDIF(data[[#This Row],[Customer_Since]], data[[#This Row],[Date]], "D")</f>
        <v>997</v>
      </c>
      <c r="P133" s="5" t="str">
        <f>TEXT(data[[#This Row],[Date]], "mmm")</f>
        <v>Aug</v>
      </c>
      <c r="Q133" s="5">
        <f>ROUNDUP(MONTH(data[[#This Row],[Date]])/3,0)</f>
        <v>3</v>
      </c>
    </row>
    <row r="134" spans="1:17" x14ac:dyDescent="0.3">
      <c r="A134" s="4" t="s">
        <v>298</v>
      </c>
      <c r="B134" s="34">
        <v>45627</v>
      </c>
      <c r="C134" s="5" t="s">
        <v>24</v>
      </c>
      <c r="D134" s="5" t="s">
        <v>25</v>
      </c>
      <c r="E134" s="5" t="s">
        <v>52</v>
      </c>
      <c r="F134" s="5" t="s">
        <v>53</v>
      </c>
      <c r="G134" s="5" t="s">
        <v>19</v>
      </c>
      <c r="H134" s="5">
        <v>2</v>
      </c>
      <c r="I134" s="9">
        <v>149.99</v>
      </c>
      <c r="J134" s="5" t="s">
        <v>20</v>
      </c>
      <c r="K134" s="5" t="s">
        <v>35</v>
      </c>
      <c r="L134" s="5" t="s">
        <v>27</v>
      </c>
      <c r="M134" s="34">
        <v>44475</v>
      </c>
      <c r="N134" s="13">
        <v>299.98</v>
      </c>
      <c r="O134" s="16">
        <f>DATEDIF(data[[#This Row],[Customer_Since]], data[[#This Row],[Date]], "D")</f>
        <v>1152</v>
      </c>
      <c r="P134" s="5" t="str">
        <f>TEXT(data[[#This Row],[Date]], "mmm")</f>
        <v>Dec</v>
      </c>
      <c r="Q134" s="5">
        <f>ROUNDUP(MONTH(data[[#This Row],[Date]])/3,0)</f>
        <v>4</v>
      </c>
    </row>
    <row r="135" spans="1:17" x14ac:dyDescent="0.3">
      <c r="A135" s="4" t="s">
        <v>88</v>
      </c>
      <c r="B135" s="34">
        <v>45410</v>
      </c>
      <c r="C135" s="5" t="s">
        <v>89</v>
      </c>
      <c r="D135" s="5" t="s">
        <v>90</v>
      </c>
      <c r="E135" s="5" t="s">
        <v>80</v>
      </c>
      <c r="F135" s="5" t="s">
        <v>81</v>
      </c>
      <c r="G135" s="5" t="s">
        <v>19</v>
      </c>
      <c r="H135" s="5">
        <v>2</v>
      </c>
      <c r="I135" s="9">
        <v>699.99</v>
      </c>
      <c r="J135" s="5" t="s">
        <v>20</v>
      </c>
      <c r="K135" s="5" t="s">
        <v>40</v>
      </c>
      <c r="L135" s="5" t="s">
        <v>22</v>
      </c>
      <c r="M135" s="34">
        <v>44781</v>
      </c>
      <c r="N135" s="13">
        <v>1399.98</v>
      </c>
      <c r="O135" s="16">
        <f>DATEDIF(data[[#This Row],[Customer_Since]], data[[#This Row],[Date]], "D")</f>
        <v>629</v>
      </c>
      <c r="P135" s="5" t="str">
        <f>TEXT(data[[#This Row],[Date]], "mmm")</f>
        <v>Apr</v>
      </c>
      <c r="Q135" s="5">
        <f>ROUNDUP(MONTH(data[[#This Row],[Date]])/3,0)</f>
        <v>2</v>
      </c>
    </row>
    <row r="136" spans="1:17" x14ac:dyDescent="0.3">
      <c r="A136" s="4" t="s">
        <v>58</v>
      </c>
      <c r="B136" s="34">
        <v>45405</v>
      </c>
      <c r="C136" s="5" t="s">
        <v>59</v>
      </c>
      <c r="D136" s="5" t="s">
        <v>60</v>
      </c>
      <c r="E136" s="5" t="s">
        <v>61</v>
      </c>
      <c r="F136" s="5" t="s">
        <v>62</v>
      </c>
      <c r="G136" s="5" t="s">
        <v>19</v>
      </c>
      <c r="H136" s="5">
        <v>3</v>
      </c>
      <c r="I136" s="9">
        <v>899.99</v>
      </c>
      <c r="J136" s="5" t="s">
        <v>34</v>
      </c>
      <c r="K136" s="5" t="s">
        <v>63</v>
      </c>
      <c r="L136" s="5" t="s">
        <v>36</v>
      </c>
      <c r="M136" s="34">
        <v>45299</v>
      </c>
      <c r="N136" s="13">
        <v>2699.97</v>
      </c>
      <c r="O136" s="16">
        <f>DATEDIF(data[[#This Row],[Customer_Since]], data[[#This Row],[Date]], "D")</f>
        <v>106</v>
      </c>
      <c r="P136" s="5" t="str">
        <f>TEXT(data[[#This Row],[Date]], "mmm")</f>
        <v>Apr</v>
      </c>
      <c r="Q136" s="5">
        <f>ROUNDUP(MONTH(data[[#This Row],[Date]])/3,0)</f>
        <v>2</v>
      </c>
    </row>
    <row r="137" spans="1:17" x14ac:dyDescent="0.3">
      <c r="A137" s="4" t="s">
        <v>189</v>
      </c>
      <c r="B137" s="34">
        <v>45482</v>
      </c>
      <c r="C137" s="5" t="s">
        <v>171</v>
      </c>
      <c r="D137" s="5" t="s">
        <v>172</v>
      </c>
      <c r="E137" s="5" t="s">
        <v>31</v>
      </c>
      <c r="F137" s="5" t="s">
        <v>32</v>
      </c>
      <c r="G137" s="5" t="s">
        <v>33</v>
      </c>
      <c r="H137" s="5">
        <v>4</v>
      </c>
      <c r="I137" s="9">
        <v>59.99</v>
      </c>
      <c r="J137" s="5" t="s">
        <v>20</v>
      </c>
      <c r="K137" s="5" t="s">
        <v>35</v>
      </c>
      <c r="L137" s="5" t="s">
        <v>36</v>
      </c>
      <c r="M137" s="34">
        <v>44509</v>
      </c>
      <c r="N137" s="13">
        <v>239.96</v>
      </c>
      <c r="O137" s="16">
        <f>DATEDIF(data[[#This Row],[Customer_Since]], data[[#This Row],[Date]], "D")</f>
        <v>973</v>
      </c>
      <c r="P137" s="5" t="str">
        <f>TEXT(data[[#This Row],[Date]], "mmm")</f>
        <v>Jul</v>
      </c>
      <c r="Q137" s="5">
        <f>ROUNDUP(MONTH(data[[#This Row],[Date]])/3,0)</f>
        <v>3</v>
      </c>
    </row>
    <row r="138" spans="1:17" x14ac:dyDescent="0.3">
      <c r="A138" s="4" t="s">
        <v>300</v>
      </c>
      <c r="B138" s="34">
        <v>45629</v>
      </c>
      <c r="C138" s="5" t="s">
        <v>252</v>
      </c>
      <c r="D138" s="5" t="s">
        <v>253</v>
      </c>
      <c r="E138" s="5" t="s">
        <v>17</v>
      </c>
      <c r="F138" s="5" t="s">
        <v>18</v>
      </c>
      <c r="G138" s="5" t="s">
        <v>19</v>
      </c>
      <c r="H138" s="5">
        <v>4</v>
      </c>
      <c r="I138" s="9">
        <v>249.99</v>
      </c>
      <c r="J138" s="5" t="s">
        <v>34</v>
      </c>
      <c r="K138" s="5" t="s">
        <v>63</v>
      </c>
      <c r="L138" s="5" t="s">
        <v>27</v>
      </c>
      <c r="M138" s="34">
        <v>45098</v>
      </c>
      <c r="N138" s="13">
        <v>999.96</v>
      </c>
      <c r="O138" s="16">
        <f>DATEDIF(data[[#This Row],[Customer_Since]], data[[#This Row],[Date]], "D")</f>
        <v>531</v>
      </c>
      <c r="P138" s="5" t="str">
        <f>TEXT(data[[#This Row],[Date]], "mmm")</f>
        <v>Dec</v>
      </c>
      <c r="Q138" s="5">
        <f>ROUNDUP(MONTH(data[[#This Row],[Date]])/3,0)</f>
        <v>4</v>
      </c>
    </row>
    <row r="139" spans="1:17" x14ac:dyDescent="0.3">
      <c r="A139" s="4" t="s">
        <v>67</v>
      </c>
      <c r="B139" s="34">
        <v>45408</v>
      </c>
      <c r="C139" s="5" t="s">
        <v>68</v>
      </c>
      <c r="D139" s="5" t="s">
        <v>69</v>
      </c>
      <c r="E139" s="5" t="s">
        <v>44</v>
      </c>
      <c r="F139" s="5" t="s">
        <v>45</v>
      </c>
      <c r="G139" s="5" t="s">
        <v>46</v>
      </c>
      <c r="H139" s="5">
        <v>1</v>
      </c>
      <c r="I139" s="9">
        <v>149.99</v>
      </c>
      <c r="J139" s="5" t="s">
        <v>26</v>
      </c>
      <c r="K139" s="5" t="s">
        <v>50</v>
      </c>
      <c r="L139" s="5" t="s">
        <v>36</v>
      </c>
      <c r="M139" s="34">
        <v>45103</v>
      </c>
      <c r="N139" s="13">
        <v>149.99</v>
      </c>
      <c r="O139" s="16">
        <f>DATEDIF(data[[#This Row],[Customer_Since]], data[[#This Row],[Date]], "D")</f>
        <v>305</v>
      </c>
      <c r="P139" s="5" t="str">
        <f>TEXT(data[[#This Row],[Date]], "mmm")</f>
        <v>Apr</v>
      </c>
      <c r="Q139" s="5">
        <f>ROUNDUP(MONTH(data[[#This Row],[Date]])/3,0)</f>
        <v>2</v>
      </c>
    </row>
    <row r="140" spans="1:17" x14ac:dyDescent="0.3">
      <c r="A140" s="4" t="s">
        <v>28</v>
      </c>
      <c r="B140" s="34">
        <v>45399</v>
      </c>
      <c r="C140" s="5" t="s">
        <v>29</v>
      </c>
      <c r="D140" s="5" t="s">
        <v>30</v>
      </c>
      <c r="E140" s="5" t="s">
        <v>31</v>
      </c>
      <c r="F140" s="5" t="s">
        <v>32</v>
      </c>
      <c r="G140" s="5" t="s">
        <v>33</v>
      </c>
      <c r="H140" s="5">
        <v>3</v>
      </c>
      <c r="I140" s="9">
        <v>59.99</v>
      </c>
      <c r="J140" s="5" t="s">
        <v>34</v>
      </c>
      <c r="K140" s="5" t="s">
        <v>35</v>
      </c>
      <c r="L140" s="5" t="s">
        <v>36</v>
      </c>
      <c r="M140" s="34">
        <v>45262</v>
      </c>
      <c r="N140" s="13">
        <v>179.97</v>
      </c>
      <c r="O140" s="16">
        <f>DATEDIF(data[[#This Row],[Customer_Since]], data[[#This Row],[Date]], "D")</f>
        <v>137</v>
      </c>
      <c r="P140" s="5" t="str">
        <f>TEXT(data[[#This Row],[Date]], "mmm")</f>
        <v>Apr</v>
      </c>
      <c r="Q140" s="5">
        <f>ROUNDUP(MONTH(data[[#This Row],[Date]])/3,0)</f>
        <v>2</v>
      </c>
    </row>
    <row r="141" spans="1:17" x14ac:dyDescent="0.3">
      <c r="A141" s="4" t="s">
        <v>221</v>
      </c>
      <c r="B141" s="34">
        <v>45522</v>
      </c>
      <c r="C141" s="5" t="s">
        <v>86</v>
      </c>
      <c r="D141" s="5" t="s">
        <v>87</v>
      </c>
      <c r="E141" s="5" t="s">
        <v>117</v>
      </c>
      <c r="F141" s="5" t="s">
        <v>118</v>
      </c>
      <c r="G141" s="5" t="s">
        <v>19</v>
      </c>
      <c r="H141" s="5">
        <v>2</v>
      </c>
      <c r="I141" s="9">
        <v>89.99</v>
      </c>
      <c r="J141" s="5" t="s">
        <v>20</v>
      </c>
      <c r="K141" s="5" t="s">
        <v>63</v>
      </c>
      <c r="L141" s="5" t="s">
        <v>27</v>
      </c>
      <c r="M141" s="34">
        <v>44972</v>
      </c>
      <c r="N141" s="13">
        <v>179.98</v>
      </c>
      <c r="O141" s="16">
        <f>DATEDIF(data[[#This Row],[Customer_Since]], data[[#This Row],[Date]], "D")</f>
        <v>550</v>
      </c>
      <c r="P141" s="5" t="str">
        <f>TEXT(data[[#This Row],[Date]], "mmm")</f>
        <v>Aug</v>
      </c>
      <c r="Q141" s="5">
        <f>ROUNDUP(MONTH(data[[#This Row],[Date]])/3,0)</f>
        <v>3</v>
      </c>
    </row>
    <row r="142" spans="1:17" x14ac:dyDescent="0.3">
      <c r="A142" s="4" t="s">
        <v>191</v>
      </c>
      <c r="B142" s="34">
        <v>45484</v>
      </c>
      <c r="C142" s="5" t="s">
        <v>192</v>
      </c>
      <c r="D142" s="5" t="s">
        <v>193</v>
      </c>
      <c r="E142" s="5" t="s">
        <v>105</v>
      </c>
      <c r="F142" s="5" t="s">
        <v>106</v>
      </c>
      <c r="G142" s="5" t="s">
        <v>46</v>
      </c>
      <c r="H142" s="5">
        <v>1</v>
      </c>
      <c r="I142" s="9">
        <v>299.99</v>
      </c>
      <c r="J142" s="5" t="s">
        <v>26</v>
      </c>
      <c r="K142" s="5" t="s">
        <v>40</v>
      </c>
      <c r="L142" s="5" t="s">
        <v>27</v>
      </c>
      <c r="M142" s="34">
        <v>44891</v>
      </c>
      <c r="N142" s="13">
        <v>299.99</v>
      </c>
      <c r="O142" s="16">
        <f>DATEDIF(data[[#This Row],[Customer_Since]], data[[#This Row],[Date]], "D")</f>
        <v>593</v>
      </c>
      <c r="P142" s="5" t="str">
        <f>TEXT(data[[#This Row],[Date]], "mmm")</f>
        <v>Jul</v>
      </c>
      <c r="Q142" s="5">
        <f>ROUNDUP(MONTH(data[[#This Row],[Date]])/3,0)</f>
        <v>3</v>
      </c>
    </row>
    <row r="143" spans="1:17" x14ac:dyDescent="0.3">
      <c r="A143" s="4" t="s">
        <v>240</v>
      </c>
      <c r="B143" s="34">
        <v>45544</v>
      </c>
      <c r="C143" s="5" t="s">
        <v>132</v>
      </c>
      <c r="D143" s="5" t="s">
        <v>133</v>
      </c>
      <c r="E143" s="5" t="s">
        <v>31</v>
      </c>
      <c r="F143" s="5" t="s">
        <v>32</v>
      </c>
      <c r="G143" s="5" t="s">
        <v>33</v>
      </c>
      <c r="H143" s="5">
        <v>3</v>
      </c>
      <c r="I143" s="9">
        <v>59.99</v>
      </c>
      <c r="J143" s="5" t="s">
        <v>34</v>
      </c>
      <c r="K143" s="5" t="s">
        <v>63</v>
      </c>
      <c r="L143" s="5" t="s">
        <v>36</v>
      </c>
      <c r="M143" s="34">
        <v>44748</v>
      </c>
      <c r="N143" s="13">
        <v>179.97</v>
      </c>
      <c r="O143" s="16">
        <f>DATEDIF(data[[#This Row],[Customer_Since]], data[[#This Row],[Date]], "D")</f>
        <v>796</v>
      </c>
      <c r="P143" s="5" t="str">
        <f>TEXT(data[[#This Row],[Date]], "mmm")</f>
        <v>Sep</v>
      </c>
      <c r="Q143" s="5">
        <f>ROUNDUP(MONTH(data[[#This Row],[Date]])/3,0)</f>
        <v>3</v>
      </c>
    </row>
    <row r="144" spans="1:17" x14ac:dyDescent="0.3">
      <c r="A144" s="4" t="s">
        <v>318</v>
      </c>
      <c r="B144" s="34">
        <v>45654</v>
      </c>
      <c r="C144" s="5" t="s">
        <v>42</v>
      </c>
      <c r="D144" s="5" t="s">
        <v>43</v>
      </c>
      <c r="E144" s="5" t="s">
        <v>105</v>
      </c>
      <c r="F144" s="5" t="s">
        <v>106</v>
      </c>
      <c r="G144" s="5" t="s">
        <v>46</v>
      </c>
      <c r="H144" s="5">
        <v>2</v>
      </c>
      <c r="I144" s="9">
        <v>299.99</v>
      </c>
      <c r="J144" s="5" t="s">
        <v>20</v>
      </c>
      <c r="K144" s="5" t="s">
        <v>50</v>
      </c>
      <c r="L144" s="5" t="s">
        <v>22</v>
      </c>
      <c r="M144" s="34">
        <v>44771</v>
      </c>
      <c r="N144" s="13">
        <v>599.98</v>
      </c>
      <c r="O144" s="16">
        <f>DATEDIF(data[[#This Row],[Customer_Since]], data[[#This Row],[Date]], "D")</f>
        <v>883</v>
      </c>
      <c r="P144" s="5" t="str">
        <f>TEXT(data[[#This Row],[Date]], "mmm")</f>
        <v>Dec</v>
      </c>
      <c r="Q144" s="5">
        <f>ROUNDUP(MONTH(data[[#This Row],[Date]])/3,0)</f>
        <v>4</v>
      </c>
    </row>
    <row r="145" spans="1:17" x14ac:dyDescent="0.3">
      <c r="A145" s="4" t="s">
        <v>393</v>
      </c>
      <c r="B145" s="34">
        <v>45749</v>
      </c>
      <c r="C145" s="5" t="s">
        <v>123</v>
      </c>
      <c r="D145" s="5" t="s">
        <v>124</v>
      </c>
      <c r="E145" s="5" t="s">
        <v>61</v>
      </c>
      <c r="F145" s="5" t="s">
        <v>62</v>
      </c>
      <c r="G145" s="5" t="s">
        <v>19</v>
      </c>
      <c r="H145" s="5">
        <v>3</v>
      </c>
      <c r="I145" s="9">
        <v>899.99</v>
      </c>
      <c r="J145" s="5" t="s">
        <v>20</v>
      </c>
      <c r="K145" s="5" t="s">
        <v>21</v>
      </c>
      <c r="L145" s="5" t="s">
        <v>36</v>
      </c>
      <c r="M145" s="34">
        <v>44953</v>
      </c>
      <c r="N145" s="13">
        <v>2699.97</v>
      </c>
      <c r="O145" s="16">
        <f>DATEDIF(data[[#This Row],[Customer_Since]], data[[#This Row],[Date]], "D")</f>
        <v>796</v>
      </c>
      <c r="P145" s="5" t="str">
        <f>TEXT(data[[#This Row],[Date]], "mmm")</f>
        <v>Apr</v>
      </c>
      <c r="Q145" s="5">
        <f>ROUNDUP(MONTH(data[[#This Row],[Date]])/3,0)</f>
        <v>2</v>
      </c>
    </row>
    <row r="146" spans="1:17" x14ac:dyDescent="0.3">
      <c r="A146" s="4" t="s">
        <v>290</v>
      </c>
      <c r="B146" s="34">
        <v>45619</v>
      </c>
      <c r="C146" s="5" t="s">
        <v>192</v>
      </c>
      <c r="D146" s="5" t="s">
        <v>193</v>
      </c>
      <c r="E146" s="5" t="s">
        <v>31</v>
      </c>
      <c r="F146" s="5" t="s">
        <v>32</v>
      </c>
      <c r="G146" s="5" t="s">
        <v>33</v>
      </c>
      <c r="H146" s="5">
        <v>1</v>
      </c>
      <c r="I146" s="9">
        <v>59.99</v>
      </c>
      <c r="J146" s="5" t="s">
        <v>57</v>
      </c>
      <c r="K146" s="5" t="s">
        <v>50</v>
      </c>
      <c r="L146" s="5" t="s">
        <v>36</v>
      </c>
      <c r="M146" s="34">
        <v>44560</v>
      </c>
      <c r="N146" s="13">
        <v>59.99</v>
      </c>
      <c r="O146" s="16">
        <f>DATEDIF(data[[#This Row],[Customer_Since]], data[[#This Row],[Date]], "D")</f>
        <v>1059</v>
      </c>
      <c r="P146" s="5" t="str">
        <f>TEXT(data[[#This Row],[Date]], "mmm")</f>
        <v>Nov</v>
      </c>
      <c r="Q146" s="5">
        <f>ROUNDUP(MONTH(data[[#This Row],[Date]])/3,0)</f>
        <v>4</v>
      </c>
    </row>
    <row r="147" spans="1:17" x14ac:dyDescent="0.3">
      <c r="A147" s="4" t="s">
        <v>262</v>
      </c>
      <c r="B147" s="34">
        <v>45572</v>
      </c>
      <c r="C147" s="5" t="s">
        <v>89</v>
      </c>
      <c r="D147" s="5" t="s">
        <v>90</v>
      </c>
      <c r="E147" s="5" t="s">
        <v>31</v>
      </c>
      <c r="F147" s="5" t="s">
        <v>32</v>
      </c>
      <c r="G147" s="5" t="s">
        <v>33</v>
      </c>
      <c r="H147" s="5">
        <v>2</v>
      </c>
      <c r="I147" s="9">
        <v>59.99</v>
      </c>
      <c r="J147" s="5" t="s">
        <v>26</v>
      </c>
      <c r="K147" s="5" t="s">
        <v>21</v>
      </c>
      <c r="L147" s="5" t="s">
        <v>22</v>
      </c>
      <c r="M147" s="34">
        <v>44579</v>
      </c>
      <c r="N147" s="13">
        <v>119.98</v>
      </c>
      <c r="O147" s="16">
        <f>DATEDIF(data[[#This Row],[Customer_Since]], data[[#This Row],[Date]], "D")</f>
        <v>993</v>
      </c>
      <c r="P147" s="5" t="str">
        <f>TEXT(data[[#This Row],[Date]], "mmm")</f>
        <v>Oct</v>
      </c>
      <c r="Q147" s="5">
        <f>ROUNDUP(MONTH(data[[#This Row],[Date]])/3,0)</f>
        <v>4</v>
      </c>
    </row>
    <row r="148" spans="1:17" x14ac:dyDescent="0.3">
      <c r="A148" s="4" t="s">
        <v>321</v>
      </c>
      <c r="B148" s="34">
        <v>45655</v>
      </c>
      <c r="C148" s="5" t="s">
        <v>108</v>
      </c>
      <c r="D148" s="5" t="s">
        <v>109</v>
      </c>
      <c r="E148" s="5" t="s">
        <v>44</v>
      </c>
      <c r="F148" s="5" t="s">
        <v>45</v>
      </c>
      <c r="G148" s="5" t="s">
        <v>46</v>
      </c>
      <c r="H148" s="5">
        <v>5</v>
      </c>
      <c r="I148" s="9">
        <v>149.99</v>
      </c>
      <c r="J148" s="5" t="s">
        <v>20</v>
      </c>
      <c r="K148" s="5" t="s">
        <v>21</v>
      </c>
      <c r="L148" s="5" t="s">
        <v>27</v>
      </c>
      <c r="M148" s="34">
        <v>45347</v>
      </c>
      <c r="N148" s="13">
        <v>749.95</v>
      </c>
      <c r="O148" s="16">
        <f>DATEDIF(data[[#This Row],[Customer_Since]], data[[#This Row],[Date]], "D")</f>
        <v>308</v>
      </c>
      <c r="P148" s="5" t="str">
        <f>TEXT(data[[#This Row],[Date]], "mmm")</f>
        <v>Dec</v>
      </c>
      <c r="Q148" s="5">
        <f>ROUNDUP(MONTH(data[[#This Row],[Date]])/3,0)</f>
        <v>4</v>
      </c>
    </row>
    <row r="149" spans="1:17" x14ac:dyDescent="0.3">
      <c r="A149" s="4" t="s">
        <v>291</v>
      </c>
      <c r="B149" s="34">
        <v>45619</v>
      </c>
      <c r="C149" s="5" t="s">
        <v>154</v>
      </c>
      <c r="D149" s="5" t="s">
        <v>155</v>
      </c>
      <c r="E149" s="5" t="s">
        <v>80</v>
      </c>
      <c r="F149" s="5" t="s">
        <v>81</v>
      </c>
      <c r="G149" s="5" t="s">
        <v>19</v>
      </c>
      <c r="H149" s="5">
        <v>3</v>
      </c>
      <c r="I149" s="9">
        <v>699.99</v>
      </c>
      <c r="J149" s="5" t="s">
        <v>34</v>
      </c>
      <c r="K149" s="5" t="s">
        <v>50</v>
      </c>
      <c r="L149" s="5" t="s">
        <v>36</v>
      </c>
      <c r="M149" s="34">
        <v>44583</v>
      </c>
      <c r="N149" s="13">
        <v>2099.9699999999998</v>
      </c>
      <c r="O149" s="16">
        <f>DATEDIF(data[[#This Row],[Customer_Since]], data[[#This Row],[Date]], "D")</f>
        <v>1036</v>
      </c>
      <c r="P149" s="5" t="str">
        <f>TEXT(data[[#This Row],[Date]], "mmm")</f>
        <v>Nov</v>
      </c>
      <c r="Q149" s="5">
        <f>ROUNDUP(MONTH(data[[#This Row],[Date]])/3,0)</f>
        <v>4</v>
      </c>
    </row>
    <row r="150" spans="1:17" x14ac:dyDescent="0.3">
      <c r="A150" s="4" t="s">
        <v>286</v>
      </c>
      <c r="B150" s="34">
        <v>45608</v>
      </c>
      <c r="C150" s="5" t="s">
        <v>83</v>
      </c>
      <c r="D150" s="5" t="s">
        <v>84</v>
      </c>
      <c r="E150" s="5" t="s">
        <v>31</v>
      </c>
      <c r="F150" s="5" t="s">
        <v>32</v>
      </c>
      <c r="G150" s="5" t="s">
        <v>33</v>
      </c>
      <c r="H150" s="5">
        <v>3</v>
      </c>
      <c r="I150" s="9">
        <v>59.99</v>
      </c>
      <c r="J150" s="5" t="s">
        <v>57</v>
      </c>
      <c r="K150" s="5" t="s">
        <v>35</v>
      </c>
      <c r="L150" s="5" t="s">
        <v>36</v>
      </c>
      <c r="M150" s="34">
        <v>45260</v>
      </c>
      <c r="N150" s="13">
        <v>179.97</v>
      </c>
      <c r="O150" s="16">
        <f>DATEDIF(data[[#This Row],[Customer_Since]], data[[#This Row],[Date]], "D")</f>
        <v>348</v>
      </c>
      <c r="P150" s="5" t="str">
        <f>TEXT(data[[#This Row],[Date]], "mmm")</f>
        <v>Nov</v>
      </c>
      <c r="Q150" s="5">
        <f>ROUNDUP(MONTH(data[[#This Row],[Date]])/3,0)</f>
        <v>4</v>
      </c>
    </row>
    <row r="151" spans="1:17" x14ac:dyDescent="0.3">
      <c r="A151" s="4" t="s">
        <v>169</v>
      </c>
      <c r="B151" s="34">
        <v>45460</v>
      </c>
      <c r="C151" s="5" t="s">
        <v>141</v>
      </c>
      <c r="D151" s="5" t="s">
        <v>142</v>
      </c>
      <c r="E151" s="5" t="s">
        <v>105</v>
      </c>
      <c r="F151" s="5" t="s">
        <v>106</v>
      </c>
      <c r="G151" s="5" t="s">
        <v>46</v>
      </c>
      <c r="H151" s="5">
        <v>2</v>
      </c>
      <c r="I151" s="9">
        <v>299.99</v>
      </c>
      <c r="J151" s="5" t="s">
        <v>57</v>
      </c>
      <c r="K151" s="5" t="s">
        <v>63</v>
      </c>
      <c r="L151" s="5" t="s">
        <v>36</v>
      </c>
      <c r="M151" s="34">
        <v>45253</v>
      </c>
      <c r="N151" s="13">
        <v>599.98</v>
      </c>
      <c r="O151" s="16">
        <f>DATEDIF(data[[#This Row],[Customer_Since]], data[[#This Row],[Date]], "D")</f>
        <v>207</v>
      </c>
      <c r="P151" s="5" t="str">
        <f>TEXT(data[[#This Row],[Date]], "mmm")</f>
        <v>Jun</v>
      </c>
      <c r="Q151" s="5">
        <f>ROUNDUP(MONTH(data[[#This Row],[Date]])/3,0)</f>
        <v>2</v>
      </c>
    </row>
    <row r="152" spans="1:17" x14ac:dyDescent="0.3">
      <c r="A152" s="4" t="s">
        <v>364</v>
      </c>
      <c r="B152" s="34">
        <v>45710</v>
      </c>
      <c r="C152" s="5" t="s">
        <v>150</v>
      </c>
      <c r="D152" s="5" t="s">
        <v>151</v>
      </c>
      <c r="E152" s="5" t="s">
        <v>80</v>
      </c>
      <c r="F152" s="5" t="s">
        <v>81</v>
      </c>
      <c r="G152" s="5" t="s">
        <v>19</v>
      </c>
      <c r="H152" s="5">
        <v>1</v>
      </c>
      <c r="I152" s="9">
        <v>699.99</v>
      </c>
      <c r="J152" s="5" t="s">
        <v>34</v>
      </c>
      <c r="K152" s="5" t="s">
        <v>50</v>
      </c>
      <c r="L152" s="5" t="s">
        <v>22</v>
      </c>
      <c r="M152" s="34">
        <v>44934</v>
      </c>
      <c r="N152" s="13">
        <v>699.99</v>
      </c>
      <c r="O152" s="16">
        <f>DATEDIF(data[[#This Row],[Customer_Since]], data[[#This Row],[Date]], "D")</f>
        <v>776</v>
      </c>
      <c r="P152" s="5" t="str">
        <f>TEXT(data[[#This Row],[Date]], "mmm")</f>
        <v>Feb</v>
      </c>
      <c r="Q152" s="5">
        <f>ROUNDUP(MONTH(data[[#This Row],[Date]])/3,0)</f>
        <v>1</v>
      </c>
    </row>
    <row r="153" spans="1:17" x14ac:dyDescent="0.3">
      <c r="A153" s="4" t="s">
        <v>388</v>
      </c>
      <c r="B153" s="34">
        <v>45743</v>
      </c>
      <c r="C153" s="5" t="s">
        <v>102</v>
      </c>
      <c r="D153" s="5" t="s">
        <v>103</v>
      </c>
      <c r="E153" s="5" t="s">
        <v>114</v>
      </c>
      <c r="F153" s="5" t="s">
        <v>115</v>
      </c>
      <c r="G153" s="5" t="s">
        <v>33</v>
      </c>
      <c r="H153" s="5">
        <v>4</v>
      </c>
      <c r="I153" s="9">
        <v>79.989999999999995</v>
      </c>
      <c r="J153" s="5" t="s">
        <v>26</v>
      </c>
      <c r="K153" s="5" t="s">
        <v>21</v>
      </c>
      <c r="L153" s="5" t="s">
        <v>22</v>
      </c>
      <c r="M153" s="34">
        <v>45288</v>
      </c>
      <c r="N153" s="13">
        <v>319.95999999999998</v>
      </c>
      <c r="O153" s="16">
        <f>DATEDIF(data[[#This Row],[Customer_Since]], data[[#This Row],[Date]], "D")</f>
        <v>455</v>
      </c>
      <c r="P153" s="5" t="str">
        <f>TEXT(data[[#This Row],[Date]], "mmm")</f>
        <v>Mar</v>
      </c>
      <c r="Q153" s="5">
        <f>ROUNDUP(MONTH(data[[#This Row],[Date]])/3,0)</f>
        <v>1</v>
      </c>
    </row>
    <row r="154" spans="1:17" x14ac:dyDescent="0.3">
      <c r="A154" s="4" t="s">
        <v>276</v>
      </c>
      <c r="B154" s="34">
        <v>45592</v>
      </c>
      <c r="C154" s="5" t="s">
        <v>171</v>
      </c>
      <c r="D154" s="5" t="s">
        <v>172</v>
      </c>
      <c r="E154" s="5" t="s">
        <v>117</v>
      </c>
      <c r="F154" s="5" t="s">
        <v>118</v>
      </c>
      <c r="G154" s="5" t="s">
        <v>19</v>
      </c>
      <c r="H154" s="5">
        <v>3</v>
      </c>
      <c r="I154" s="9">
        <v>89.99</v>
      </c>
      <c r="J154" s="5" t="s">
        <v>26</v>
      </c>
      <c r="K154" s="5" t="s">
        <v>40</v>
      </c>
      <c r="L154" s="5" t="s">
        <v>36</v>
      </c>
      <c r="M154" s="34">
        <v>44615</v>
      </c>
      <c r="N154" s="13">
        <v>269.97000000000003</v>
      </c>
      <c r="O154" s="16">
        <f>DATEDIF(data[[#This Row],[Customer_Since]], data[[#This Row],[Date]], "D")</f>
        <v>977</v>
      </c>
      <c r="P154" s="5" t="str">
        <f>TEXT(data[[#This Row],[Date]], "mmm")</f>
        <v>Oct</v>
      </c>
      <c r="Q154" s="5">
        <f>ROUNDUP(MONTH(data[[#This Row],[Date]])/3,0)</f>
        <v>4</v>
      </c>
    </row>
    <row r="155" spans="1:17" x14ac:dyDescent="0.3">
      <c r="A155" s="4" t="s">
        <v>166</v>
      </c>
      <c r="B155" s="34">
        <v>45459</v>
      </c>
      <c r="C155" s="5" t="s">
        <v>15</v>
      </c>
      <c r="D155" s="5" t="s">
        <v>16</v>
      </c>
      <c r="E155" s="5" t="s">
        <v>61</v>
      </c>
      <c r="F155" s="5" t="s">
        <v>62</v>
      </c>
      <c r="G155" s="5" t="s">
        <v>19</v>
      </c>
      <c r="H155" s="5">
        <v>5</v>
      </c>
      <c r="I155" s="9">
        <v>899.99</v>
      </c>
      <c r="J155" s="5" t="s">
        <v>26</v>
      </c>
      <c r="K155" s="5" t="s">
        <v>35</v>
      </c>
      <c r="L155" s="5" t="s">
        <v>36</v>
      </c>
      <c r="M155" s="34">
        <v>44974</v>
      </c>
      <c r="N155" s="13">
        <v>4499.95</v>
      </c>
      <c r="O155" s="16">
        <f>DATEDIF(data[[#This Row],[Customer_Since]], data[[#This Row],[Date]], "D")</f>
        <v>485</v>
      </c>
      <c r="P155" s="5" t="str">
        <f>TEXT(data[[#This Row],[Date]], "mmm")</f>
        <v>Jun</v>
      </c>
      <c r="Q155" s="5">
        <f>ROUNDUP(MONTH(data[[#This Row],[Date]])/3,0)</f>
        <v>2</v>
      </c>
    </row>
    <row r="156" spans="1:17" x14ac:dyDescent="0.3">
      <c r="A156" s="4" t="s">
        <v>14</v>
      </c>
      <c r="B156" s="34">
        <v>45393</v>
      </c>
      <c r="C156" s="5" t="s">
        <v>15</v>
      </c>
      <c r="D156" s="5" t="s">
        <v>16</v>
      </c>
      <c r="E156" s="5" t="s">
        <v>17</v>
      </c>
      <c r="F156" s="5" t="s">
        <v>18</v>
      </c>
      <c r="G156" s="5" t="s">
        <v>19</v>
      </c>
      <c r="H156" s="5">
        <v>3</v>
      </c>
      <c r="I156" s="9">
        <v>249.99</v>
      </c>
      <c r="J156" s="5" t="s">
        <v>20</v>
      </c>
      <c r="K156" s="5" t="s">
        <v>21</v>
      </c>
      <c r="L156" s="5" t="s">
        <v>22</v>
      </c>
      <c r="M156" s="34">
        <v>44425</v>
      </c>
      <c r="N156" s="13">
        <v>749.97</v>
      </c>
      <c r="O156" s="16">
        <f>DATEDIF(data[[#This Row],[Customer_Since]], data[[#This Row],[Date]], "D")</f>
        <v>968</v>
      </c>
      <c r="P156" s="5" t="str">
        <f>TEXT(data[[#This Row],[Date]], "mmm")</f>
        <v>Apr</v>
      </c>
      <c r="Q156" s="56">
        <f>ROUNDUP(MONTH(data[[#This Row],[Date]])/3,0)</f>
        <v>2</v>
      </c>
    </row>
    <row r="157" spans="1:17" x14ac:dyDescent="0.3">
      <c r="A157" s="4" t="s">
        <v>320</v>
      </c>
      <c r="B157" s="34">
        <v>45655</v>
      </c>
      <c r="C157" s="5" t="s">
        <v>59</v>
      </c>
      <c r="D157" s="5" t="s">
        <v>60</v>
      </c>
      <c r="E157" s="5" t="s">
        <v>117</v>
      </c>
      <c r="F157" s="5" t="s">
        <v>118</v>
      </c>
      <c r="G157" s="5" t="s">
        <v>19</v>
      </c>
      <c r="H157" s="5">
        <v>1</v>
      </c>
      <c r="I157" s="9">
        <v>89.99</v>
      </c>
      <c r="J157" s="5" t="s">
        <v>26</v>
      </c>
      <c r="K157" s="5" t="s">
        <v>35</v>
      </c>
      <c r="L157" s="5" t="s">
        <v>27</v>
      </c>
      <c r="M157" s="34">
        <v>44591</v>
      </c>
      <c r="N157" s="13">
        <v>89.99</v>
      </c>
      <c r="O157" s="16">
        <f>DATEDIF(data[[#This Row],[Customer_Since]], data[[#This Row],[Date]], "D")</f>
        <v>1064</v>
      </c>
      <c r="P157" s="5" t="str">
        <f>TEXT(data[[#This Row],[Date]], "mmm")</f>
        <v>Dec</v>
      </c>
      <c r="Q157" s="5">
        <f>ROUNDUP(MONTH(data[[#This Row],[Date]])/3,0)</f>
        <v>4</v>
      </c>
    </row>
    <row r="158" spans="1:17" x14ac:dyDescent="0.3">
      <c r="A158" s="4" t="s">
        <v>206</v>
      </c>
      <c r="B158" s="34">
        <v>45501</v>
      </c>
      <c r="C158" s="5" t="s">
        <v>86</v>
      </c>
      <c r="D158" s="5" t="s">
        <v>87</v>
      </c>
      <c r="E158" s="5" t="s">
        <v>117</v>
      </c>
      <c r="F158" s="5" t="s">
        <v>118</v>
      </c>
      <c r="G158" s="5" t="s">
        <v>19</v>
      </c>
      <c r="H158" s="5">
        <v>2</v>
      </c>
      <c r="I158" s="9">
        <v>89.99</v>
      </c>
      <c r="J158" s="5" t="s">
        <v>34</v>
      </c>
      <c r="K158" s="5" t="s">
        <v>35</v>
      </c>
      <c r="L158" s="5" t="s">
        <v>22</v>
      </c>
      <c r="M158" s="34">
        <v>44976</v>
      </c>
      <c r="N158" s="13">
        <v>179.98</v>
      </c>
      <c r="O158" s="16">
        <f>DATEDIF(data[[#This Row],[Customer_Since]], data[[#This Row],[Date]], "D")</f>
        <v>525</v>
      </c>
      <c r="P158" s="5" t="str">
        <f>TEXT(data[[#This Row],[Date]], "mmm")</f>
        <v>Jul</v>
      </c>
      <c r="Q158" s="5">
        <f>ROUNDUP(MONTH(data[[#This Row],[Date]])/3,0)</f>
        <v>3</v>
      </c>
    </row>
    <row r="159" spans="1:17" x14ac:dyDescent="0.3">
      <c r="A159" s="4" t="s">
        <v>267</v>
      </c>
      <c r="B159" s="34">
        <v>45579</v>
      </c>
      <c r="C159" s="5" t="s">
        <v>83</v>
      </c>
      <c r="D159" s="5" t="s">
        <v>84</v>
      </c>
      <c r="E159" s="5" t="s">
        <v>61</v>
      </c>
      <c r="F159" s="5" t="s">
        <v>62</v>
      </c>
      <c r="G159" s="5" t="s">
        <v>19</v>
      </c>
      <c r="H159" s="5">
        <v>3</v>
      </c>
      <c r="I159" s="9">
        <v>899.99</v>
      </c>
      <c r="J159" s="5" t="s">
        <v>34</v>
      </c>
      <c r="K159" s="5" t="s">
        <v>50</v>
      </c>
      <c r="L159" s="5" t="s">
        <v>22</v>
      </c>
      <c r="M159" s="34">
        <v>45215</v>
      </c>
      <c r="N159" s="13">
        <v>2699.97</v>
      </c>
      <c r="O159" s="16">
        <f>DATEDIF(data[[#This Row],[Customer_Since]], data[[#This Row],[Date]], "D")</f>
        <v>364</v>
      </c>
      <c r="P159" s="5" t="str">
        <f>TEXT(data[[#This Row],[Date]], "mmm")</f>
        <v>Oct</v>
      </c>
      <c r="Q159" s="5">
        <f>ROUNDUP(MONTH(data[[#This Row],[Date]])/3,0)</f>
        <v>4</v>
      </c>
    </row>
    <row r="160" spans="1:17" x14ac:dyDescent="0.3">
      <c r="A160" s="4" t="s">
        <v>344</v>
      </c>
      <c r="B160" s="34">
        <v>45683</v>
      </c>
      <c r="C160" s="5" t="s">
        <v>48</v>
      </c>
      <c r="D160" s="5" t="s">
        <v>49</v>
      </c>
      <c r="E160" s="5" t="s">
        <v>17</v>
      </c>
      <c r="F160" s="5" t="s">
        <v>18</v>
      </c>
      <c r="G160" s="5" t="s">
        <v>19</v>
      </c>
      <c r="H160" s="5">
        <v>4</v>
      </c>
      <c r="I160" s="9">
        <v>249.99</v>
      </c>
      <c r="J160" s="5" t="s">
        <v>57</v>
      </c>
      <c r="K160" s="5" t="s">
        <v>21</v>
      </c>
      <c r="L160" s="5" t="s">
        <v>27</v>
      </c>
      <c r="M160" s="34">
        <v>45217</v>
      </c>
      <c r="N160" s="13">
        <v>999.96</v>
      </c>
      <c r="O160" s="16">
        <f>DATEDIF(data[[#This Row],[Customer_Since]], data[[#This Row],[Date]], "D")</f>
        <v>466</v>
      </c>
      <c r="P160" s="5" t="str">
        <f>TEXT(data[[#This Row],[Date]], "mmm")</f>
        <v>Jan</v>
      </c>
      <c r="Q160" s="5">
        <f>ROUNDUP(MONTH(data[[#This Row],[Date]])/3,0)</f>
        <v>1</v>
      </c>
    </row>
    <row r="161" spans="1:17" x14ac:dyDescent="0.3">
      <c r="A161" s="4" t="s">
        <v>289</v>
      </c>
      <c r="B161" s="34">
        <v>45617</v>
      </c>
      <c r="C161" s="5" t="s">
        <v>123</v>
      </c>
      <c r="D161" s="5" t="s">
        <v>124</v>
      </c>
      <c r="E161" s="5" t="s">
        <v>126</v>
      </c>
      <c r="F161" s="5" t="s">
        <v>127</v>
      </c>
      <c r="G161" s="5" t="s">
        <v>46</v>
      </c>
      <c r="H161" s="5">
        <v>4</v>
      </c>
      <c r="I161" s="9">
        <v>199.99</v>
      </c>
      <c r="J161" s="5" t="s">
        <v>57</v>
      </c>
      <c r="K161" s="5" t="s">
        <v>21</v>
      </c>
      <c r="L161" s="5" t="s">
        <v>27</v>
      </c>
      <c r="M161" s="34">
        <v>44427</v>
      </c>
      <c r="N161" s="13">
        <v>799.96</v>
      </c>
      <c r="O161" s="16">
        <f>DATEDIF(data[[#This Row],[Customer_Since]], data[[#This Row],[Date]], "D")</f>
        <v>1190</v>
      </c>
      <c r="P161" s="5" t="str">
        <f>TEXT(data[[#This Row],[Date]], "mmm")</f>
        <v>Nov</v>
      </c>
      <c r="Q161" s="5">
        <f>ROUNDUP(MONTH(data[[#This Row],[Date]])/3,0)</f>
        <v>4</v>
      </c>
    </row>
    <row r="162" spans="1:17" x14ac:dyDescent="0.3">
      <c r="A162" s="4" t="s">
        <v>242</v>
      </c>
      <c r="B162" s="34">
        <v>45545</v>
      </c>
      <c r="C162" s="5" t="s">
        <v>55</v>
      </c>
      <c r="D162" s="5" t="s">
        <v>56</v>
      </c>
      <c r="E162" s="5" t="s">
        <v>114</v>
      </c>
      <c r="F162" s="5" t="s">
        <v>115</v>
      </c>
      <c r="G162" s="5" t="s">
        <v>33</v>
      </c>
      <c r="H162" s="5">
        <v>1</v>
      </c>
      <c r="I162" s="9">
        <v>79.989999999999995</v>
      </c>
      <c r="J162" s="5" t="s">
        <v>20</v>
      </c>
      <c r="K162" s="5" t="s">
        <v>50</v>
      </c>
      <c r="L162" s="5" t="s">
        <v>22</v>
      </c>
      <c r="M162" s="34">
        <v>44693</v>
      </c>
      <c r="N162" s="13">
        <v>79.989999999999995</v>
      </c>
      <c r="O162" s="16">
        <f>DATEDIF(data[[#This Row],[Customer_Since]], data[[#This Row],[Date]], "D")</f>
        <v>852</v>
      </c>
      <c r="P162" s="5" t="str">
        <f>TEXT(data[[#This Row],[Date]], "mmm")</f>
        <v>Sep</v>
      </c>
      <c r="Q162" s="5">
        <f>ROUNDUP(MONTH(data[[#This Row],[Date]])/3,0)</f>
        <v>3</v>
      </c>
    </row>
    <row r="163" spans="1:17" x14ac:dyDescent="0.3">
      <c r="A163" s="4" t="s">
        <v>200</v>
      </c>
      <c r="B163" s="34">
        <v>45496</v>
      </c>
      <c r="C163" s="5" t="s">
        <v>150</v>
      </c>
      <c r="D163" s="5" t="s">
        <v>151</v>
      </c>
      <c r="E163" s="5" t="s">
        <v>61</v>
      </c>
      <c r="F163" s="5" t="s">
        <v>62</v>
      </c>
      <c r="G163" s="5" t="s">
        <v>19</v>
      </c>
      <c r="H163" s="5">
        <v>1</v>
      </c>
      <c r="I163" s="9">
        <v>899.99</v>
      </c>
      <c r="J163" s="5" t="s">
        <v>20</v>
      </c>
      <c r="K163" s="5" t="s">
        <v>21</v>
      </c>
      <c r="L163" s="5" t="s">
        <v>36</v>
      </c>
      <c r="M163" s="34">
        <v>45179</v>
      </c>
      <c r="N163" s="13">
        <v>899.99</v>
      </c>
      <c r="O163" s="16">
        <f>DATEDIF(data[[#This Row],[Customer_Since]], data[[#This Row],[Date]], "D")</f>
        <v>317</v>
      </c>
      <c r="P163" s="5" t="str">
        <f>TEXT(data[[#This Row],[Date]], "mmm")</f>
        <v>Jul</v>
      </c>
      <c r="Q163" s="5">
        <f>ROUNDUP(MONTH(data[[#This Row],[Date]])/3,0)</f>
        <v>3</v>
      </c>
    </row>
    <row r="164" spans="1:17" x14ac:dyDescent="0.3">
      <c r="A164" s="4" t="s">
        <v>313</v>
      </c>
      <c r="B164" s="34">
        <v>45645</v>
      </c>
      <c r="C164" s="5" t="s">
        <v>147</v>
      </c>
      <c r="D164" s="5" t="s">
        <v>148</v>
      </c>
      <c r="E164" s="5" t="s">
        <v>61</v>
      </c>
      <c r="F164" s="5" t="s">
        <v>62</v>
      </c>
      <c r="G164" s="5" t="s">
        <v>19</v>
      </c>
      <c r="H164" s="5">
        <v>5</v>
      </c>
      <c r="I164" s="9">
        <v>899.99</v>
      </c>
      <c r="J164" s="5" t="s">
        <v>57</v>
      </c>
      <c r="K164" s="5" t="s">
        <v>63</v>
      </c>
      <c r="L164" s="5" t="s">
        <v>36</v>
      </c>
      <c r="M164" s="34">
        <v>44625</v>
      </c>
      <c r="N164" s="13">
        <v>4499.95</v>
      </c>
      <c r="O164" s="16">
        <f>DATEDIF(data[[#This Row],[Customer_Since]], data[[#This Row],[Date]], "D")</f>
        <v>1020</v>
      </c>
      <c r="P164" s="5" t="str">
        <f>TEXT(data[[#This Row],[Date]], "mmm")</f>
        <v>Dec</v>
      </c>
      <c r="Q164" s="5">
        <f>ROUNDUP(MONTH(data[[#This Row],[Date]])/3,0)</f>
        <v>4</v>
      </c>
    </row>
    <row r="165" spans="1:17" x14ac:dyDescent="0.3">
      <c r="A165" s="4" t="s">
        <v>315</v>
      </c>
      <c r="B165" s="34">
        <v>45648</v>
      </c>
      <c r="C165" s="5" t="s">
        <v>112</v>
      </c>
      <c r="D165" s="5" t="s">
        <v>113</v>
      </c>
      <c r="E165" s="5" t="s">
        <v>52</v>
      </c>
      <c r="F165" s="5" t="s">
        <v>53</v>
      </c>
      <c r="G165" s="5" t="s">
        <v>19</v>
      </c>
      <c r="H165" s="5">
        <v>2</v>
      </c>
      <c r="I165" s="9">
        <v>149.99</v>
      </c>
      <c r="J165" s="5" t="s">
        <v>57</v>
      </c>
      <c r="K165" s="5" t="s">
        <v>50</v>
      </c>
      <c r="L165" s="5" t="s">
        <v>27</v>
      </c>
      <c r="M165" s="34">
        <v>45280</v>
      </c>
      <c r="N165" s="13">
        <v>299.98</v>
      </c>
      <c r="O165" s="16">
        <f>DATEDIF(data[[#This Row],[Customer_Since]], data[[#This Row],[Date]], "D")</f>
        <v>368</v>
      </c>
      <c r="P165" s="5" t="str">
        <f>TEXT(data[[#This Row],[Date]], "mmm")</f>
        <v>Dec</v>
      </c>
      <c r="Q165" s="5">
        <f>ROUNDUP(MONTH(data[[#This Row],[Date]])/3,0)</f>
        <v>4</v>
      </c>
    </row>
    <row r="166" spans="1:17" x14ac:dyDescent="0.3">
      <c r="A166" s="4" t="s">
        <v>319</v>
      </c>
      <c r="B166" s="34">
        <v>45654</v>
      </c>
      <c r="C166" s="5" t="s">
        <v>120</v>
      </c>
      <c r="D166" s="5" t="s">
        <v>121</v>
      </c>
      <c r="E166" s="5" t="s">
        <v>126</v>
      </c>
      <c r="F166" s="5" t="s">
        <v>127</v>
      </c>
      <c r="G166" s="5" t="s">
        <v>46</v>
      </c>
      <c r="H166" s="5">
        <v>4</v>
      </c>
      <c r="I166" s="9">
        <v>199.99</v>
      </c>
      <c r="J166" s="5" t="s">
        <v>26</v>
      </c>
      <c r="K166" s="5" t="s">
        <v>21</v>
      </c>
      <c r="L166" s="5" t="s">
        <v>22</v>
      </c>
      <c r="M166" s="34">
        <v>44523</v>
      </c>
      <c r="N166" s="13">
        <v>799.96</v>
      </c>
      <c r="O166" s="16">
        <f>DATEDIF(data[[#This Row],[Customer_Since]], data[[#This Row],[Date]], "D")</f>
        <v>1131</v>
      </c>
      <c r="P166" s="5" t="str">
        <f>TEXT(data[[#This Row],[Date]], "mmm")</f>
        <v>Dec</v>
      </c>
      <c r="Q166" s="5">
        <f>ROUNDUP(MONTH(data[[#This Row],[Date]])/3,0)</f>
        <v>4</v>
      </c>
    </row>
    <row r="167" spans="1:17" x14ac:dyDescent="0.3">
      <c r="A167" s="4" t="s">
        <v>350</v>
      </c>
      <c r="B167" s="34">
        <v>45688</v>
      </c>
      <c r="C167" s="5" t="s">
        <v>42</v>
      </c>
      <c r="D167" s="5" t="s">
        <v>43</v>
      </c>
      <c r="E167" s="5" t="s">
        <v>117</v>
      </c>
      <c r="F167" s="5" t="s">
        <v>118</v>
      </c>
      <c r="G167" s="5" t="s">
        <v>19</v>
      </c>
      <c r="H167" s="5">
        <v>3</v>
      </c>
      <c r="I167" s="9">
        <v>89.99</v>
      </c>
      <c r="J167" s="5" t="s">
        <v>57</v>
      </c>
      <c r="K167" s="5" t="s">
        <v>35</v>
      </c>
      <c r="L167" s="5" t="s">
        <v>27</v>
      </c>
      <c r="M167" s="34">
        <v>45307</v>
      </c>
      <c r="N167" s="13">
        <v>269.97000000000003</v>
      </c>
      <c r="O167" s="16">
        <f>DATEDIF(data[[#This Row],[Customer_Since]], data[[#This Row],[Date]], "D")</f>
        <v>381</v>
      </c>
      <c r="P167" s="5" t="str">
        <f>TEXT(data[[#This Row],[Date]], "mmm")</f>
        <v>Jan</v>
      </c>
      <c r="Q167" s="5">
        <f>ROUNDUP(MONTH(data[[#This Row],[Date]])/3,0)</f>
        <v>1</v>
      </c>
    </row>
    <row r="168" spans="1:17" x14ac:dyDescent="0.3">
      <c r="A168" s="4" t="s">
        <v>275</v>
      </c>
      <c r="B168" s="34">
        <v>45589</v>
      </c>
      <c r="C168" s="5" t="s">
        <v>158</v>
      </c>
      <c r="D168" s="5" t="s">
        <v>159</v>
      </c>
      <c r="E168" s="5" t="s">
        <v>80</v>
      </c>
      <c r="F168" s="5" t="s">
        <v>81</v>
      </c>
      <c r="G168" s="5" t="s">
        <v>19</v>
      </c>
      <c r="H168" s="5">
        <v>5</v>
      </c>
      <c r="I168" s="9">
        <v>699.99</v>
      </c>
      <c r="J168" s="5" t="s">
        <v>20</v>
      </c>
      <c r="K168" s="5" t="s">
        <v>40</v>
      </c>
      <c r="L168" s="5" t="s">
        <v>27</v>
      </c>
      <c r="M168" s="34">
        <v>44635</v>
      </c>
      <c r="N168" s="13">
        <v>3499.95</v>
      </c>
      <c r="O168" s="16">
        <f>DATEDIF(data[[#This Row],[Customer_Since]], data[[#This Row],[Date]], "D")</f>
        <v>954</v>
      </c>
      <c r="P168" s="5" t="str">
        <f>TEXT(data[[#This Row],[Date]], "mmm")</f>
        <v>Oct</v>
      </c>
      <c r="Q168" s="5">
        <f>ROUNDUP(MONTH(data[[#This Row],[Date]])/3,0)</f>
        <v>4</v>
      </c>
    </row>
    <row r="169" spans="1:17" x14ac:dyDescent="0.3">
      <c r="A169" s="4" t="s">
        <v>360</v>
      </c>
      <c r="B169" s="34">
        <v>45707</v>
      </c>
      <c r="C169" s="5" t="s">
        <v>42</v>
      </c>
      <c r="D169" s="5" t="s">
        <v>43</v>
      </c>
      <c r="E169" s="5" t="s">
        <v>44</v>
      </c>
      <c r="F169" s="5" t="s">
        <v>45</v>
      </c>
      <c r="G169" s="5" t="s">
        <v>46</v>
      </c>
      <c r="H169" s="5">
        <v>3</v>
      </c>
      <c r="I169" s="9">
        <v>149.99</v>
      </c>
      <c r="J169" s="5" t="s">
        <v>34</v>
      </c>
      <c r="K169" s="5" t="s">
        <v>21</v>
      </c>
      <c r="L169" s="5" t="s">
        <v>36</v>
      </c>
      <c r="M169" s="34">
        <v>44633</v>
      </c>
      <c r="N169" s="13">
        <v>449.97</v>
      </c>
      <c r="O169" s="16">
        <f>DATEDIF(data[[#This Row],[Customer_Since]], data[[#This Row],[Date]], "D")</f>
        <v>1074</v>
      </c>
      <c r="P169" s="5" t="str">
        <f>TEXT(data[[#This Row],[Date]], "mmm")</f>
        <v>Feb</v>
      </c>
      <c r="Q169" s="5">
        <f>ROUNDUP(MONTH(data[[#This Row],[Date]])/3,0)</f>
        <v>1</v>
      </c>
    </row>
    <row r="170" spans="1:17" x14ac:dyDescent="0.3">
      <c r="A170" s="4" t="s">
        <v>195</v>
      </c>
      <c r="B170" s="34">
        <v>45490</v>
      </c>
      <c r="C170" s="5" t="s">
        <v>196</v>
      </c>
      <c r="D170" s="5" t="s">
        <v>197</v>
      </c>
      <c r="E170" s="5" t="s">
        <v>31</v>
      </c>
      <c r="F170" s="5" t="s">
        <v>32</v>
      </c>
      <c r="G170" s="5" t="s">
        <v>33</v>
      </c>
      <c r="H170" s="5">
        <v>3</v>
      </c>
      <c r="I170" s="9">
        <v>59.99</v>
      </c>
      <c r="J170" s="5" t="s">
        <v>26</v>
      </c>
      <c r="K170" s="5" t="s">
        <v>50</v>
      </c>
      <c r="L170" s="5" t="s">
        <v>22</v>
      </c>
      <c r="M170" s="34">
        <v>45130</v>
      </c>
      <c r="N170" s="13">
        <v>179.97</v>
      </c>
      <c r="O170" s="16">
        <f>DATEDIF(data[[#This Row],[Customer_Since]], data[[#This Row],[Date]], "D")</f>
        <v>360</v>
      </c>
      <c r="P170" s="5" t="str">
        <f>TEXT(data[[#This Row],[Date]], "mmm")</f>
        <v>Jul</v>
      </c>
      <c r="Q170" s="5">
        <f>ROUNDUP(MONTH(data[[#This Row],[Date]])/3,0)</f>
        <v>3</v>
      </c>
    </row>
    <row r="171" spans="1:17" x14ac:dyDescent="0.3">
      <c r="A171" s="4" t="s">
        <v>230</v>
      </c>
      <c r="B171" s="34">
        <v>45532</v>
      </c>
      <c r="C171" s="5" t="s">
        <v>231</v>
      </c>
      <c r="D171" s="5" t="s">
        <v>232</v>
      </c>
      <c r="E171" s="5" t="s">
        <v>52</v>
      </c>
      <c r="F171" s="5" t="s">
        <v>53</v>
      </c>
      <c r="G171" s="5" t="s">
        <v>19</v>
      </c>
      <c r="H171" s="5">
        <v>3</v>
      </c>
      <c r="I171" s="9">
        <v>149.99</v>
      </c>
      <c r="J171" s="5" t="s">
        <v>20</v>
      </c>
      <c r="K171" s="5" t="s">
        <v>50</v>
      </c>
      <c r="L171" s="5" t="s">
        <v>27</v>
      </c>
      <c r="M171" s="34">
        <v>45212</v>
      </c>
      <c r="N171" s="13">
        <v>449.97</v>
      </c>
      <c r="O171" s="16">
        <f>DATEDIF(data[[#This Row],[Customer_Since]], data[[#This Row],[Date]], "D")</f>
        <v>320</v>
      </c>
      <c r="P171" s="5" t="str">
        <f>TEXT(data[[#This Row],[Date]], "mmm")</f>
        <v>Aug</v>
      </c>
      <c r="Q171" s="5">
        <f>ROUNDUP(MONTH(data[[#This Row],[Date]])/3,0)</f>
        <v>3</v>
      </c>
    </row>
    <row r="172" spans="1:17" x14ac:dyDescent="0.3">
      <c r="A172" s="4" t="s">
        <v>317</v>
      </c>
      <c r="B172" s="34">
        <v>45649</v>
      </c>
      <c r="C172" s="5" t="s">
        <v>29</v>
      </c>
      <c r="D172" s="5" t="s">
        <v>30</v>
      </c>
      <c r="E172" s="5" t="s">
        <v>105</v>
      </c>
      <c r="F172" s="5" t="s">
        <v>106</v>
      </c>
      <c r="G172" s="5" t="s">
        <v>46</v>
      </c>
      <c r="H172" s="5">
        <v>2</v>
      </c>
      <c r="I172" s="9">
        <v>299.99</v>
      </c>
      <c r="J172" s="5" t="s">
        <v>34</v>
      </c>
      <c r="K172" s="5" t="s">
        <v>35</v>
      </c>
      <c r="L172" s="5" t="s">
        <v>22</v>
      </c>
      <c r="M172" s="34">
        <v>44721</v>
      </c>
      <c r="N172" s="13">
        <v>599.98</v>
      </c>
      <c r="O172" s="16">
        <f>DATEDIF(data[[#This Row],[Customer_Since]], data[[#This Row],[Date]], "D")</f>
        <v>928</v>
      </c>
      <c r="P172" s="5" t="str">
        <f>TEXT(data[[#This Row],[Date]], "mmm")</f>
        <v>Dec</v>
      </c>
      <c r="Q172" s="5">
        <f>ROUNDUP(MONTH(data[[#This Row],[Date]])/3,0)</f>
        <v>4</v>
      </c>
    </row>
    <row r="173" spans="1:17" x14ac:dyDescent="0.3">
      <c r="A173" s="4" t="s">
        <v>283</v>
      </c>
      <c r="B173" s="34">
        <v>45607</v>
      </c>
      <c r="C173" s="5" t="s">
        <v>15</v>
      </c>
      <c r="D173" s="5" t="s">
        <v>16</v>
      </c>
      <c r="E173" s="5" t="s">
        <v>31</v>
      </c>
      <c r="F173" s="5" t="s">
        <v>32</v>
      </c>
      <c r="G173" s="5" t="s">
        <v>33</v>
      </c>
      <c r="H173" s="5">
        <v>5</v>
      </c>
      <c r="I173" s="9">
        <v>59.99</v>
      </c>
      <c r="J173" s="5" t="s">
        <v>34</v>
      </c>
      <c r="K173" s="5" t="s">
        <v>50</v>
      </c>
      <c r="L173" s="5" t="s">
        <v>27</v>
      </c>
      <c r="M173" s="34">
        <v>44694</v>
      </c>
      <c r="N173" s="13">
        <v>299.95</v>
      </c>
      <c r="O173" s="16">
        <f>DATEDIF(data[[#This Row],[Customer_Since]], data[[#This Row],[Date]], "D")</f>
        <v>913</v>
      </c>
      <c r="P173" s="5" t="str">
        <f>TEXT(data[[#This Row],[Date]], "mmm")</f>
        <v>Nov</v>
      </c>
      <c r="Q173" s="5">
        <f>ROUNDUP(MONTH(data[[#This Row],[Date]])/3,0)</f>
        <v>4</v>
      </c>
    </row>
    <row r="174" spans="1:17" x14ac:dyDescent="0.3">
      <c r="A174" s="4" t="s">
        <v>268</v>
      </c>
      <c r="B174" s="34">
        <v>45581</v>
      </c>
      <c r="C174" s="5" t="s">
        <v>96</v>
      </c>
      <c r="D174" s="5" t="s">
        <v>97</v>
      </c>
      <c r="E174" s="5" t="s">
        <v>80</v>
      </c>
      <c r="F174" s="5" t="s">
        <v>81</v>
      </c>
      <c r="G174" s="5" t="s">
        <v>19</v>
      </c>
      <c r="H174" s="5">
        <v>5</v>
      </c>
      <c r="I174" s="9">
        <v>699.99</v>
      </c>
      <c r="J174" s="5" t="s">
        <v>20</v>
      </c>
      <c r="K174" s="5" t="s">
        <v>63</v>
      </c>
      <c r="L174" s="5" t="s">
        <v>36</v>
      </c>
      <c r="M174" s="34">
        <v>45008</v>
      </c>
      <c r="N174" s="13">
        <v>3499.95</v>
      </c>
      <c r="O174" s="16">
        <f>DATEDIF(data[[#This Row],[Customer_Since]], data[[#This Row],[Date]], "D")</f>
        <v>573</v>
      </c>
      <c r="P174" s="5" t="str">
        <f>TEXT(data[[#This Row],[Date]], "mmm")</f>
        <v>Oct</v>
      </c>
      <c r="Q174" s="5">
        <f>ROUNDUP(MONTH(data[[#This Row],[Date]])/3,0)</f>
        <v>4</v>
      </c>
    </row>
    <row r="175" spans="1:17" x14ac:dyDescent="0.3">
      <c r="A175" s="4" t="s">
        <v>261</v>
      </c>
      <c r="B175" s="34">
        <v>45566</v>
      </c>
      <c r="C175" s="5" t="s">
        <v>42</v>
      </c>
      <c r="D175" s="5" t="s">
        <v>43</v>
      </c>
      <c r="E175" s="5" t="s">
        <v>105</v>
      </c>
      <c r="F175" s="5" t="s">
        <v>106</v>
      </c>
      <c r="G175" s="5" t="s">
        <v>46</v>
      </c>
      <c r="H175" s="5">
        <v>4</v>
      </c>
      <c r="I175" s="9">
        <v>299.99</v>
      </c>
      <c r="J175" s="5" t="s">
        <v>20</v>
      </c>
      <c r="K175" s="5" t="s">
        <v>21</v>
      </c>
      <c r="L175" s="5" t="s">
        <v>27</v>
      </c>
      <c r="M175" s="34">
        <v>44460</v>
      </c>
      <c r="N175" s="13">
        <v>1199.96</v>
      </c>
      <c r="O175" s="16">
        <f>DATEDIF(data[[#This Row],[Customer_Since]], data[[#This Row],[Date]], "D")</f>
        <v>1106</v>
      </c>
      <c r="P175" s="5" t="str">
        <f>TEXT(data[[#This Row],[Date]], "mmm")</f>
        <v>Oct</v>
      </c>
      <c r="Q175" s="5">
        <f>ROUNDUP(MONTH(data[[#This Row],[Date]])/3,0)</f>
        <v>4</v>
      </c>
    </row>
    <row r="176" spans="1:17" x14ac:dyDescent="0.3">
      <c r="A176" s="4" t="s">
        <v>375</v>
      </c>
      <c r="B176" s="34">
        <v>45723</v>
      </c>
      <c r="C176" s="5" t="s">
        <v>120</v>
      </c>
      <c r="D176" s="5" t="s">
        <v>121</v>
      </c>
      <c r="E176" s="5" t="s">
        <v>17</v>
      </c>
      <c r="F176" s="5" t="s">
        <v>18</v>
      </c>
      <c r="G176" s="5" t="s">
        <v>19</v>
      </c>
      <c r="H176" s="5">
        <v>5</v>
      </c>
      <c r="I176" s="9">
        <v>249.99</v>
      </c>
      <c r="J176" s="5" t="s">
        <v>20</v>
      </c>
      <c r="K176" s="5" t="s">
        <v>63</v>
      </c>
      <c r="L176" s="5" t="s">
        <v>36</v>
      </c>
      <c r="M176" s="34">
        <v>44540</v>
      </c>
      <c r="N176" s="13">
        <v>1249.95</v>
      </c>
      <c r="O176" s="16">
        <f>DATEDIF(data[[#This Row],[Customer_Since]], data[[#This Row],[Date]], "D")</f>
        <v>1183</v>
      </c>
      <c r="P176" s="5" t="str">
        <f>TEXT(data[[#This Row],[Date]], "mmm")</f>
        <v>Mar</v>
      </c>
      <c r="Q176" s="5">
        <f>ROUNDUP(MONTH(data[[#This Row],[Date]])/3,0)</f>
        <v>1</v>
      </c>
    </row>
    <row r="177" spans="1:17" x14ac:dyDescent="0.3">
      <c r="A177" s="4" t="s">
        <v>213</v>
      </c>
      <c r="B177" s="34">
        <v>45510</v>
      </c>
      <c r="C177" s="5" t="s">
        <v>102</v>
      </c>
      <c r="D177" s="5" t="s">
        <v>103</v>
      </c>
      <c r="E177" s="5" t="s">
        <v>44</v>
      </c>
      <c r="F177" s="5" t="s">
        <v>45</v>
      </c>
      <c r="G177" s="5" t="s">
        <v>46</v>
      </c>
      <c r="H177" s="5">
        <v>2</v>
      </c>
      <c r="I177" s="9">
        <v>149.99</v>
      </c>
      <c r="J177" s="5" t="s">
        <v>57</v>
      </c>
      <c r="K177" s="5" t="s">
        <v>63</v>
      </c>
      <c r="L177" s="5" t="s">
        <v>36</v>
      </c>
      <c r="M177" s="34">
        <v>44667</v>
      </c>
      <c r="N177" s="13">
        <v>299.98</v>
      </c>
      <c r="O177" s="16">
        <f>DATEDIF(data[[#This Row],[Customer_Since]], data[[#This Row],[Date]], "D")</f>
        <v>843</v>
      </c>
      <c r="P177" s="5" t="str">
        <f>TEXT(data[[#This Row],[Date]], "mmm")</f>
        <v>Aug</v>
      </c>
      <c r="Q177" s="5">
        <f>ROUNDUP(MONTH(data[[#This Row],[Date]])/3,0)</f>
        <v>3</v>
      </c>
    </row>
    <row r="178" spans="1:17" x14ac:dyDescent="0.3">
      <c r="A178" s="4" t="s">
        <v>255</v>
      </c>
      <c r="B178" s="34">
        <v>45559</v>
      </c>
      <c r="C178" s="5" t="s">
        <v>234</v>
      </c>
      <c r="D178" s="5" t="s">
        <v>235</v>
      </c>
      <c r="E178" s="5" t="s">
        <v>61</v>
      </c>
      <c r="F178" s="5" t="s">
        <v>62</v>
      </c>
      <c r="G178" s="5" t="s">
        <v>19</v>
      </c>
      <c r="H178" s="5">
        <v>3</v>
      </c>
      <c r="I178" s="9">
        <v>899.99</v>
      </c>
      <c r="J178" s="5" t="s">
        <v>26</v>
      </c>
      <c r="K178" s="5" t="s">
        <v>40</v>
      </c>
      <c r="L178" s="5" t="s">
        <v>36</v>
      </c>
      <c r="M178" s="34">
        <v>45157</v>
      </c>
      <c r="N178" s="13">
        <v>2699.97</v>
      </c>
      <c r="O178" s="16">
        <f>DATEDIF(data[[#This Row],[Customer_Since]], data[[#This Row],[Date]], "D")</f>
        <v>402</v>
      </c>
      <c r="P178" s="5" t="str">
        <f>TEXT(data[[#This Row],[Date]], "mmm")</f>
        <v>Sep</v>
      </c>
      <c r="Q178" s="5">
        <f>ROUNDUP(MONTH(data[[#This Row],[Date]])/3,0)</f>
        <v>3</v>
      </c>
    </row>
    <row r="179" spans="1:17" x14ac:dyDescent="0.3">
      <c r="A179" s="4" t="s">
        <v>346</v>
      </c>
      <c r="B179" s="34">
        <v>45686</v>
      </c>
      <c r="C179" s="5" t="s">
        <v>86</v>
      </c>
      <c r="D179" s="5" t="s">
        <v>87</v>
      </c>
      <c r="E179" s="5" t="s">
        <v>105</v>
      </c>
      <c r="F179" s="5" t="s">
        <v>106</v>
      </c>
      <c r="G179" s="5" t="s">
        <v>46</v>
      </c>
      <c r="H179" s="5">
        <v>3</v>
      </c>
      <c r="I179" s="9">
        <v>299.99</v>
      </c>
      <c r="J179" s="5" t="s">
        <v>57</v>
      </c>
      <c r="K179" s="5" t="s">
        <v>50</v>
      </c>
      <c r="L179" s="5" t="s">
        <v>36</v>
      </c>
      <c r="M179" s="34">
        <v>44952</v>
      </c>
      <c r="N179" s="13">
        <v>899.97</v>
      </c>
      <c r="O179" s="16">
        <f>DATEDIF(data[[#This Row],[Customer_Since]], data[[#This Row],[Date]], "D")</f>
        <v>734</v>
      </c>
      <c r="P179" s="5" t="str">
        <f>TEXT(data[[#This Row],[Date]], "mmm")</f>
        <v>Jan</v>
      </c>
      <c r="Q179" s="5">
        <f>ROUNDUP(MONTH(data[[#This Row],[Date]])/3,0)</f>
        <v>1</v>
      </c>
    </row>
    <row r="180" spans="1:17" x14ac:dyDescent="0.3">
      <c r="A180" s="4" t="s">
        <v>359</v>
      </c>
      <c r="B180" s="34">
        <v>45707</v>
      </c>
      <c r="C180" s="5" t="s">
        <v>123</v>
      </c>
      <c r="D180" s="5" t="s">
        <v>124</v>
      </c>
      <c r="E180" s="5" t="s">
        <v>80</v>
      </c>
      <c r="F180" s="5" t="s">
        <v>81</v>
      </c>
      <c r="G180" s="5" t="s">
        <v>19</v>
      </c>
      <c r="H180" s="5">
        <v>5</v>
      </c>
      <c r="I180" s="9">
        <v>699.99</v>
      </c>
      <c r="J180" s="5" t="s">
        <v>34</v>
      </c>
      <c r="K180" s="5" t="s">
        <v>35</v>
      </c>
      <c r="L180" s="5" t="s">
        <v>27</v>
      </c>
      <c r="M180" s="34">
        <v>45352</v>
      </c>
      <c r="N180" s="13">
        <v>3499.95</v>
      </c>
      <c r="O180" s="16">
        <f>DATEDIF(data[[#This Row],[Customer_Since]], data[[#This Row],[Date]], "D")</f>
        <v>355</v>
      </c>
      <c r="P180" s="5" t="str">
        <f>TEXT(data[[#This Row],[Date]], "mmm")</f>
        <v>Feb</v>
      </c>
      <c r="Q180" s="5">
        <f>ROUNDUP(MONTH(data[[#This Row],[Date]])/3,0)</f>
        <v>1</v>
      </c>
    </row>
    <row r="181" spans="1:17" x14ac:dyDescent="0.3">
      <c r="A181" s="4" t="s">
        <v>302</v>
      </c>
      <c r="B181" s="34">
        <v>45635</v>
      </c>
      <c r="C181" s="5" t="s">
        <v>108</v>
      </c>
      <c r="D181" s="5" t="s">
        <v>109</v>
      </c>
      <c r="E181" s="5" t="s">
        <v>17</v>
      </c>
      <c r="F181" s="5" t="s">
        <v>18</v>
      </c>
      <c r="G181" s="5" t="s">
        <v>19</v>
      </c>
      <c r="H181" s="5">
        <v>2</v>
      </c>
      <c r="I181" s="9">
        <v>249.99</v>
      </c>
      <c r="J181" s="5" t="s">
        <v>26</v>
      </c>
      <c r="K181" s="5" t="s">
        <v>21</v>
      </c>
      <c r="L181" s="5" t="s">
        <v>27</v>
      </c>
      <c r="M181" s="34">
        <v>44396</v>
      </c>
      <c r="N181" s="13">
        <v>499.98</v>
      </c>
      <c r="O181" s="16">
        <f>DATEDIF(data[[#This Row],[Customer_Since]], data[[#This Row],[Date]], "D")</f>
        <v>1239</v>
      </c>
      <c r="P181" s="5" t="str">
        <f>TEXT(data[[#This Row],[Date]], "mmm")</f>
        <v>Dec</v>
      </c>
      <c r="Q181" s="5">
        <f>ROUNDUP(MONTH(data[[#This Row],[Date]])/3,0)</f>
        <v>4</v>
      </c>
    </row>
    <row r="182" spans="1:17" x14ac:dyDescent="0.3">
      <c r="A182" s="4" t="s">
        <v>257</v>
      </c>
      <c r="B182" s="34">
        <v>45563</v>
      </c>
      <c r="C182" s="5" t="s">
        <v>99</v>
      </c>
      <c r="D182" s="5" t="s">
        <v>100</v>
      </c>
      <c r="E182" s="5" t="s">
        <v>105</v>
      </c>
      <c r="F182" s="5" t="s">
        <v>106</v>
      </c>
      <c r="G182" s="5" t="s">
        <v>46</v>
      </c>
      <c r="H182" s="5">
        <v>2</v>
      </c>
      <c r="I182" s="9">
        <v>299.99</v>
      </c>
      <c r="J182" s="5" t="s">
        <v>57</v>
      </c>
      <c r="K182" s="5" t="s">
        <v>21</v>
      </c>
      <c r="L182" s="5" t="s">
        <v>22</v>
      </c>
      <c r="M182" s="34">
        <v>44569</v>
      </c>
      <c r="N182" s="13">
        <v>599.98</v>
      </c>
      <c r="O182" s="16">
        <f>DATEDIF(data[[#This Row],[Customer_Since]], data[[#This Row],[Date]], "D")</f>
        <v>994</v>
      </c>
      <c r="P182" s="5" t="str">
        <f>TEXT(data[[#This Row],[Date]], "mmm")</f>
        <v>Sep</v>
      </c>
      <c r="Q182" s="5">
        <f>ROUNDUP(MONTH(data[[#This Row],[Date]])/3,0)</f>
        <v>3</v>
      </c>
    </row>
    <row r="183" spans="1:17" x14ac:dyDescent="0.3">
      <c r="A183" s="4" t="s">
        <v>368</v>
      </c>
      <c r="B183" s="34">
        <v>45712</v>
      </c>
      <c r="C183" s="5" t="s">
        <v>138</v>
      </c>
      <c r="D183" s="5" t="s">
        <v>139</v>
      </c>
      <c r="E183" s="5" t="s">
        <v>126</v>
      </c>
      <c r="F183" s="5" t="s">
        <v>127</v>
      </c>
      <c r="G183" s="5" t="s">
        <v>46</v>
      </c>
      <c r="H183" s="5">
        <v>2</v>
      </c>
      <c r="I183" s="9">
        <v>199.99</v>
      </c>
      <c r="J183" s="5" t="s">
        <v>20</v>
      </c>
      <c r="K183" s="5" t="s">
        <v>21</v>
      </c>
      <c r="L183" s="5" t="s">
        <v>27</v>
      </c>
      <c r="M183" s="34">
        <v>44573</v>
      </c>
      <c r="N183" s="13">
        <v>399.98</v>
      </c>
      <c r="O183" s="16">
        <f>DATEDIF(data[[#This Row],[Customer_Since]], data[[#This Row],[Date]], "D")</f>
        <v>1139</v>
      </c>
      <c r="P183" s="5" t="str">
        <f>TEXT(data[[#This Row],[Date]], "mmm")</f>
        <v>Feb</v>
      </c>
      <c r="Q183" s="5">
        <f>ROUNDUP(MONTH(data[[#This Row],[Date]])/3,0)</f>
        <v>1</v>
      </c>
    </row>
    <row r="184" spans="1:17" x14ac:dyDescent="0.3">
      <c r="A184" s="4" t="s">
        <v>312</v>
      </c>
      <c r="B184" s="34">
        <v>45645</v>
      </c>
      <c r="C184" s="5" t="s">
        <v>182</v>
      </c>
      <c r="D184" s="5" t="s">
        <v>183</v>
      </c>
      <c r="E184" s="5" t="s">
        <v>117</v>
      </c>
      <c r="F184" s="5" t="s">
        <v>118</v>
      </c>
      <c r="G184" s="5" t="s">
        <v>19</v>
      </c>
      <c r="H184" s="5">
        <v>1</v>
      </c>
      <c r="I184" s="9">
        <v>89.99</v>
      </c>
      <c r="J184" s="5" t="s">
        <v>57</v>
      </c>
      <c r="K184" s="5" t="s">
        <v>21</v>
      </c>
      <c r="L184" s="5" t="s">
        <v>36</v>
      </c>
      <c r="M184" s="34">
        <v>44760</v>
      </c>
      <c r="N184" s="13">
        <v>89.99</v>
      </c>
      <c r="O184" s="16">
        <f>DATEDIF(data[[#This Row],[Customer_Since]], data[[#This Row],[Date]], "D")</f>
        <v>885</v>
      </c>
      <c r="P184" s="5" t="str">
        <f>TEXT(data[[#This Row],[Date]], "mmm")</f>
        <v>Dec</v>
      </c>
      <c r="Q184" s="5">
        <f>ROUNDUP(MONTH(data[[#This Row],[Date]])/3,0)</f>
        <v>4</v>
      </c>
    </row>
    <row r="185" spans="1:17" x14ac:dyDescent="0.3">
      <c r="A185" s="4" t="s">
        <v>175</v>
      </c>
      <c r="B185" s="34">
        <v>45471</v>
      </c>
      <c r="C185" s="5" t="s">
        <v>38</v>
      </c>
      <c r="D185" s="5" t="s">
        <v>39</v>
      </c>
      <c r="E185" s="5" t="s">
        <v>80</v>
      </c>
      <c r="F185" s="5" t="s">
        <v>81</v>
      </c>
      <c r="G185" s="5" t="s">
        <v>19</v>
      </c>
      <c r="H185" s="5">
        <v>3</v>
      </c>
      <c r="I185" s="9">
        <v>699.99</v>
      </c>
      <c r="J185" s="5" t="s">
        <v>26</v>
      </c>
      <c r="K185" s="5" t="s">
        <v>63</v>
      </c>
      <c r="L185" s="5" t="s">
        <v>27</v>
      </c>
      <c r="M185" s="34">
        <v>45102</v>
      </c>
      <c r="N185" s="13">
        <v>2099.9699999999998</v>
      </c>
      <c r="O185" s="16">
        <f>DATEDIF(data[[#This Row],[Customer_Since]], data[[#This Row],[Date]], "D")</f>
        <v>369</v>
      </c>
      <c r="P185" s="5" t="str">
        <f>TEXT(data[[#This Row],[Date]], "mmm")</f>
        <v>Jun</v>
      </c>
      <c r="Q185" s="5">
        <f>ROUNDUP(MONTH(data[[#This Row],[Date]])/3,0)</f>
        <v>2</v>
      </c>
    </row>
    <row r="186" spans="1:17" x14ac:dyDescent="0.3">
      <c r="A186" s="4" t="s">
        <v>64</v>
      </c>
      <c r="B186" s="34">
        <v>45408</v>
      </c>
      <c r="C186" s="5" t="s">
        <v>65</v>
      </c>
      <c r="D186" s="5" t="s">
        <v>66</v>
      </c>
      <c r="E186" s="5" t="s">
        <v>31</v>
      </c>
      <c r="F186" s="5" t="s">
        <v>32</v>
      </c>
      <c r="G186" s="5" t="s">
        <v>33</v>
      </c>
      <c r="H186" s="5">
        <v>3</v>
      </c>
      <c r="I186" s="9">
        <v>59.99</v>
      </c>
      <c r="J186" s="5" t="s">
        <v>20</v>
      </c>
      <c r="K186" s="5" t="s">
        <v>50</v>
      </c>
      <c r="L186" s="5" t="s">
        <v>27</v>
      </c>
      <c r="M186" s="34">
        <v>45207</v>
      </c>
      <c r="N186" s="13">
        <v>179.97</v>
      </c>
      <c r="O186" s="16">
        <f>DATEDIF(data[[#This Row],[Customer_Since]], data[[#This Row],[Date]], "D")</f>
        <v>201</v>
      </c>
      <c r="P186" s="5" t="str">
        <f>TEXT(data[[#This Row],[Date]], "mmm")</f>
        <v>Apr</v>
      </c>
      <c r="Q186" s="5">
        <f>ROUNDUP(MONTH(data[[#This Row],[Date]])/3,0)</f>
        <v>2</v>
      </c>
    </row>
    <row r="187" spans="1:17" x14ac:dyDescent="0.3">
      <c r="A187" s="4" t="s">
        <v>376</v>
      </c>
      <c r="B187" s="34">
        <v>45724</v>
      </c>
      <c r="C187" s="5" t="s">
        <v>226</v>
      </c>
      <c r="D187" s="5" t="s">
        <v>227</v>
      </c>
      <c r="E187" s="5" t="s">
        <v>44</v>
      </c>
      <c r="F187" s="5" t="s">
        <v>45</v>
      </c>
      <c r="G187" s="5" t="s">
        <v>46</v>
      </c>
      <c r="H187" s="5">
        <v>2</v>
      </c>
      <c r="I187" s="9">
        <v>149.99</v>
      </c>
      <c r="J187" s="5" t="s">
        <v>34</v>
      </c>
      <c r="K187" s="5" t="s">
        <v>21</v>
      </c>
      <c r="L187" s="5" t="s">
        <v>27</v>
      </c>
      <c r="M187" s="34">
        <v>44632</v>
      </c>
      <c r="N187" s="13">
        <v>299.98</v>
      </c>
      <c r="O187" s="16">
        <f>DATEDIF(data[[#This Row],[Customer_Since]], data[[#This Row],[Date]], "D")</f>
        <v>1092</v>
      </c>
      <c r="P187" s="5" t="str">
        <f>TEXT(data[[#This Row],[Date]], "mmm")</f>
        <v>Mar</v>
      </c>
      <c r="Q187" s="5">
        <f>ROUNDUP(MONTH(data[[#This Row],[Date]])/3,0)</f>
        <v>1</v>
      </c>
    </row>
    <row r="188" spans="1:17" x14ac:dyDescent="0.3">
      <c r="A188" s="4" t="s">
        <v>355</v>
      </c>
      <c r="B188" s="34">
        <v>45701</v>
      </c>
      <c r="C188" s="5" t="s">
        <v>108</v>
      </c>
      <c r="D188" s="5" t="s">
        <v>109</v>
      </c>
      <c r="E188" s="5" t="s">
        <v>114</v>
      </c>
      <c r="F188" s="5" t="s">
        <v>115</v>
      </c>
      <c r="G188" s="5" t="s">
        <v>33</v>
      </c>
      <c r="H188" s="5">
        <v>3</v>
      </c>
      <c r="I188" s="9">
        <v>79.989999999999995</v>
      </c>
      <c r="J188" s="5" t="s">
        <v>20</v>
      </c>
      <c r="K188" s="5" t="s">
        <v>63</v>
      </c>
      <c r="L188" s="5" t="s">
        <v>27</v>
      </c>
      <c r="M188" s="34">
        <v>44436</v>
      </c>
      <c r="N188" s="13">
        <v>239.97</v>
      </c>
      <c r="O188" s="16">
        <f>DATEDIF(data[[#This Row],[Customer_Since]], data[[#This Row],[Date]], "D")</f>
        <v>1265</v>
      </c>
      <c r="P188" s="5" t="str">
        <f>TEXT(data[[#This Row],[Date]], "mmm")</f>
        <v>Feb</v>
      </c>
      <c r="Q188" s="5">
        <f>ROUNDUP(MONTH(data[[#This Row],[Date]])/3,0)</f>
        <v>1</v>
      </c>
    </row>
    <row r="189" spans="1:17" x14ac:dyDescent="0.3">
      <c r="A189" s="4" t="s">
        <v>347</v>
      </c>
      <c r="B189" s="34">
        <v>45686</v>
      </c>
      <c r="C189" s="5" t="s">
        <v>293</v>
      </c>
      <c r="D189" s="5" t="s">
        <v>294</v>
      </c>
      <c r="E189" s="5" t="s">
        <v>80</v>
      </c>
      <c r="F189" s="5" t="s">
        <v>81</v>
      </c>
      <c r="G189" s="5" t="s">
        <v>19</v>
      </c>
      <c r="H189" s="5">
        <v>2</v>
      </c>
      <c r="I189" s="9">
        <v>699.99</v>
      </c>
      <c r="J189" s="5" t="s">
        <v>57</v>
      </c>
      <c r="K189" s="5" t="s">
        <v>21</v>
      </c>
      <c r="L189" s="5" t="s">
        <v>27</v>
      </c>
      <c r="M189" s="34">
        <v>44681</v>
      </c>
      <c r="N189" s="13">
        <v>1399.98</v>
      </c>
      <c r="O189" s="16">
        <f>DATEDIF(data[[#This Row],[Customer_Since]], data[[#This Row],[Date]], "D")</f>
        <v>1005</v>
      </c>
      <c r="P189" s="5" t="str">
        <f>TEXT(data[[#This Row],[Date]], "mmm")</f>
        <v>Jan</v>
      </c>
      <c r="Q189" s="5">
        <f>ROUNDUP(MONTH(data[[#This Row],[Date]])/3,0)</f>
        <v>1</v>
      </c>
    </row>
    <row r="190" spans="1:17" x14ac:dyDescent="0.3">
      <c r="A190" s="4" t="s">
        <v>270</v>
      </c>
      <c r="B190" s="34">
        <v>45581</v>
      </c>
      <c r="C190" s="5" t="s">
        <v>150</v>
      </c>
      <c r="D190" s="5" t="s">
        <v>151</v>
      </c>
      <c r="E190" s="5" t="s">
        <v>61</v>
      </c>
      <c r="F190" s="5" t="s">
        <v>62</v>
      </c>
      <c r="G190" s="5" t="s">
        <v>19</v>
      </c>
      <c r="H190" s="5">
        <v>1</v>
      </c>
      <c r="I190" s="9">
        <v>899.99</v>
      </c>
      <c r="J190" s="5" t="s">
        <v>26</v>
      </c>
      <c r="K190" s="5" t="s">
        <v>63</v>
      </c>
      <c r="L190" s="5" t="s">
        <v>36</v>
      </c>
      <c r="M190" s="34">
        <v>45369</v>
      </c>
      <c r="N190" s="13">
        <v>899.99</v>
      </c>
      <c r="O190" s="16">
        <f>DATEDIF(data[[#This Row],[Customer_Since]], data[[#This Row],[Date]], "D")</f>
        <v>212</v>
      </c>
      <c r="P190" s="5" t="str">
        <f>TEXT(data[[#This Row],[Date]], "mmm")</f>
        <v>Oct</v>
      </c>
      <c r="Q190" s="5">
        <f>ROUNDUP(MONTH(data[[#This Row],[Date]])/3,0)</f>
        <v>4</v>
      </c>
    </row>
    <row r="191" spans="1:17" x14ac:dyDescent="0.3">
      <c r="A191" s="4" t="s">
        <v>271</v>
      </c>
      <c r="B191" s="34">
        <v>45583</v>
      </c>
      <c r="C191" s="5" t="s">
        <v>226</v>
      </c>
      <c r="D191" s="5" t="s">
        <v>227</v>
      </c>
      <c r="E191" s="5" t="s">
        <v>52</v>
      </c>
      <c r="F191" s="5" t="s">
        <v>53</v>
      </c>
      <c r="G191" s="5" t="s">
        <v>19</v>
      </c>
      <c r="H191" s="5">
        <v>2</v>
      </c>
      <c r="I191" s="9">
        <v>149.99</v>
      </c>
      <c r="J191" s="5" t="s">
        <v>26</v>
      </c>
      <c r="K191" s="5" t="s">
        <v>50</v>
      </c>
      <c r="L191" s="5" t="s">
        <v>22</v>
      </c>
      <c r="M191" s="34">
        <v>44916</v>
      </c>
      <c r="N191" s="13">
        <v>299.98</v>
      </c>
      <c r="O191" s="16">
        <f>DATEDIF(data[[#This Row],[Customer_Since]], data[[#This Row],[Date]], "D")</f>
        <v>667</v>
      </c>
      <c r="P191" s="5" t="str">
        <f>TEXT(data[[#This Row],[Date]], "mmm")</f>
        <v>Oct</v>
      </c>
      <c r="Q191" s="5">
        <f>ROUNDUP(MONTH(data[[#This Row],[Date]])/3,0)</f>
        <v>4</v>
      </c>
    </row>
    <row r="192" spans="1:17" x14ac:dyDescent="0.3">
      <c r="A192" s="4" t="s">
        <v>77</v>
      </c>
      <c r="B192" s="34">
        <v>45409</v>
      </c>
      <c r="C192" s="5" t="s">
        <v>78</v>
      </c>
      <c r="D192" s="5" t="s">
        <v>79</v>
      </c>
      <c r="E192" s="5" t="s">
        <v>80</v>
      </c>
      <c r="F192" s="5" t="s">
        <v>81</v>
      </c>
      <c r="G192" s="5" t="s">
        <v>19</v>
      </c>
      <c r="H192" s="5">
        <v>3</v>
      </c>
      <c r="I192" s="9">
        <v>699.99</v>
      </c>
      <c r="J192" s="5" t="s">
        <v>26</v>
      </c>
      <c r="K192" s="5" t="s">
        <v>50</v>
      </c>
      <c r="L192" s="5" t="s">
        <v>22</v>
      </c>
      <c r="M192" s="34">
        <v>44577</v>
      </c>
      <c r="N192" s="13">
        <v>2099.9699999999998</v>
      </c>
      <c r="O192" s="16">
        <f>DATEDIF(data[[#This Row],[Customer_Since]], data[[#This Row],[Date]], "D")</f>
        <v>832</v>
      </c>
      <c r="P192" s="5" t="str">
        <f>TEXT(data[[#This Row],[Date]], "mmm")</f>
        <v>Apr</v>
      </c>
      <c r="Q192" s="5">
        <f>ROUNDUP(MONTH(data[[#This Row],[Date]])/3,0)</f>
        <v>2</v>
      </c>
    </row>
    <row r="193" spans="1:17" x14ac:dyDescent="0.3">
      <c r="A193" s="4" t="s">
        <v>179</v>
      </c>
      <c r="B193" s="34">
        <v>45475</v>
      </c>
      <c r="C193" s="5" t="s">
        <v>55</v>
      </c>
      <c r="D193" s="5" t="s">
        <v>56</v>
      </c>
      <c r="E193" s="5" t="s">
        <v>117</v>
      </c>
      <c r="F193" s="5" t="s">
        <v>118</v>
      </c>
      <c r="G193" s="5" t="s">
        <v>19</v>
      </c>
      <c r="H193" s="5">
        <v>1</v>
      </c>
      <c r="I193" s="9">
        <v>89.99</v>
      </c>
      <c r="J193" s="5" t="s">
        <v>34</v>
      </c>
      <c r="K193" s="5" t="s">
        <v>50</v>
      </c>
      <c r="L193" s="5" t="s">
        <v>36</v>
      </c>
      <c r="M193" s="34">
        <v>44802</v>
      </c>
      <c r="N193" s="13">
        <v>89.99</v>
      </c>
      <c r="O193" s="16">
        <f>DATEDIF(data[[#This Row],[Customer_Since]], data[[#This Row],[Date]], "D")</f>
        <v>673</v>
      </c>
      <c r="P193" s="5" t="str">
        <f>TEXT(data[[#This Row],[Date]], "mmm")</f>
        <v>Jul</v>
      </c>
      <c r="Q193" s="5">
        <f>ROUNDUP(MONTH(data[[#This Row],[Date]])/3,0)</f>
        <v>3</v>
      </c>
    </row>
    <row r="194" spans="1:17" x14ac:dyDescent="0.3">
      <c r="A194" s="4" t="s">
        <v>51</v>
      </c>
      <c r="B194" s="34">
        <v>45403</v>
      </c>
      <c r="C194" s="5" t="s">
        <v>48</v>
      </c>
      <c r="D194" s="5" t="s">
        <v>49</v>
      </c>
      <c r="E194" s="5" t="s">
        <v>52</v>
      </c>
      <c r="F194" s="5" t="s">
        <v>53</v>
      </c>
      <c r="G194" s="5" t="s">
        <v>19</v>
      </c>
      <c r="H194" s="5">
        <v>5</v>
      </c>
      <c r="I194" s="9">
        <v>149.99</v>
      </c>
      <c r="J194" s="5" t="s">
        <v>26</v>
      </c>
      <c r="K194" s="5" t="s">
        <v>21</v>
      </c>
      <c r="L194" s="5" t="s">
        <v>36</v>
      </c>
      <c r="M194" s="34">
        <v>44418</v>
      </c>
      <c r="N194" s="13">
        <v>749.95</v>
      </c>
      <c r="O194" s="16">
        <f>DATEDIF(data[[#This Row],[Customer_Since]], data[[#This Row],[Date]], "D")</f>
        <v>985</v>
      </c>
      <c r="P194" s="5" t="str">
        <f>TEXT(data[[#This Row],[Date]], "mmm")</f>
        <v>Apr</v>
      </c>
      <c r="Q194" s="5">
        <f>ROUNDUP(MONTH(data[[#This Row],[Date]])/3,0)</f>
        <v>2</v>
      </c>
    </row>
    <row r="195" spans="1:17" x14ac:dyDescent="0.3">
      <c r="A195" s="4" t="s">
        <v>128</v>
      </c>
      <c r="B195" s="34">
        <v>45428</v>
      </c>
      <c r="C195" s="5" t="s">
        <v>129</v>
      </c>
      <c r="D195" s="5" t="s">
        <v>130</v>
      </c>
      <c r="E195" s="5" t="s">
        <v>44</v>
      </c>
      <c r="F195" s="5" t="s">
        <v>45</v>
      </c>
      <c r="G195" s="5" t="s">
        <v>46</v>
      </c>
      <c r="H195" s="5">
        <v>2</v>
      </c>
      <c r="I195" s="9">
        <v>149.99</v>
      </c>
      <c r="J195" s="5" t="s">
        <v>26</v>
      </c>
      <c r="K195" s="5" t="s">
        <v>50</v>
      </c>
      <c r="L195" s="5" t="s">
        <v>22</v>
      </c>
      <c r="M195" s="34">
        <v>44823</v>
      </c>
      <c r="N195" s="13">
        <v>299.98</v>
      </c>
      <c r="O195" s="16">
        <f>DATEDIF(data[[#This Row],[Customer_Since]], data[[#This Row],[Date]], "D")</f>
        <v>605</v>
      </c>
      <c r="P195" s="5" t="str">
        <f>TEXT(data[[#This Row],[Date]], "mmm")</f>
        <v>May</v>
      </c>
      <c r="Q195" s="5">
        <f>ROUNDUP(MONTH(data[[#This Row],[Date]])/3,0)</f>
        <v>2</v>
      </c>
    </row>
    <row r="196" spans="1:17" x14ac:dyDescent="0.3">
      <c r="A196" s="4" t="s">
        <v>248</v>
      </c>
      <c r="B196" s="34">
        <v>45551</v>
      </c>
      <c r="C196" s="5" t="s">
        <v>65</v>
      </c>
      <c r="D196" s="5" t="s">
        <v>66</v>
      </c>
      <c r="E196" s="5" t="s">
        <v>17</v>
      </c>
      <c r="F196" s="5" t="s">
        <v>18</v>
      </c>
      <c r="G196" s="5" t="s">
        <v>19</v>
      </c>
      <c r="H196" s="5">
        <v>2</v>
      </c>
      <c r="I196" s="9">
        <v>249.99</v>
      </c>
      <c r="J196" s="5" t="s">
        <v>34</v>
      </c>
      <c r="K196" s="5" t="s">
        <v>35</v>
      </c>
      <c r="L196" s="5" t="s">
        <v>22</v>
      </c>
      <c r="M196" s="34">
        <v>44993</v>
      </c>
      <c r="N196" s="13">
        <v>499.98</v>
      </c>
      <c r="O196" s="16">
        <f>DATEDIF(data[[#This Row],[Customer_Since]], data[[#This Row],[Date]], "D")</f>
        <v>558</v>
      </c>
      <c r="P196" s="5" t="str">
        <f>TEXT(data[[#This Row],[Date]], "mmm")</f>
        <v>Sep</v>
      </c>
      <c r="Q196" s="5">
        <f>ROUNDUP(MONTH(data[[#This Row],[Date]])/3,0)</f>
        <v>3</v>
      </c>
    </row>
    <row r="197" spans="1:17" x14ac:dyDescent="0.3">
      <c r="A197" s="4" t="s">
        <v>357</v>
      </c>
      <c r="B197" s="34">
        <v>45704</v>
      </c>
      <c r="C197" s="5" t="s">
        <v>15</v>
      </c>
      <c r="D197" s="5" t="s">
        <v>16</v>
      </c>
      <c r="E197" s="5" t="s">
        <v>117</v>
      </c>
      <c r="F197" s="5" t="s">
        <v>118</v>
      </c>
      <c r="G197" s="5" t="s">
        <v>19</v>
      </c>
      <c r="H197" s="5">
        <v>2</v>
      </c>
      <c r="I197" s="9">
        <v>89.99</v>
      </c>
      <c r="J197" s="5" t="s">
        <v>34</v>
      </c>
      <c r="K197" s="5" t="s">
        <v>21</v>
      </c>
      <c r="L197" s="5" t="s">
        <v>22</v>
      </c>
      <c r="M197" s="34">
        <v>45257</v>
      </c>
      <c r="N197" s="13">
        <v>179.98</v>
      </c>
      <c r="O197" s="16">
        <f>DATEDIF(data[[#This Row],[Customer_Since]], data[[#This Row],[Date]], "D")</f>
        <v>447</v>
      </c>
      <c r="P197" s="5" t="str">
        <f>TEXT(data[[#This Row],[Date]], "mmm")</f>
        <v>Feb</v>
      </c>
      <c r="Q197" s="5">
        <f>ROUNDUP(MONTH(data[[#This Row],[Date]])/3,0)</f>
        <v>1</v>
      </c>
    </row>
    <row r="198" spans="1:17" x14ac:dyDescent="0.3">
      <c r="A198" s="4" t="s">
        <v>390</v>
      </c>
      <c r="B198" s="34">
        <v>45746</v>
      </c>
      <c r="C198" s="5" t="s">
        <v>93</v>
      </c>
      <c r="D198" s="5" t="s">
        <v>94</v>
      </c>
      <c r="E198" s="5" t="s">
        <v>44</v>
      </c>
      <c r="F198" s="5" t="s">
        <v>45</v>
      </c>
      <c r="G198" s="5" t="s">
        <v>46</v>
      </c>
      <c r="H198" s="5">
        <v>3</v>
      </c>
      <c r="I198" s="9">
        <v>149.99</v>
      </c>
      <c r="J198" s="5" t="s">
        <v>34</v>
      </c>
      <c r="K198" s="5" t="s">
        <v>21</v>
      </c>
      <c r="L198" s="5" t="s">
        <v>36</v>
      </c>
      <c r="M198" s="34">
        <v>45171</v>
      </c>
      <c r="N198" s="13">
        <v>449.97</v>
      </c>
      <c r="O198" s="16">
        <f>DATEDIF(data[[#This Row],[Customer_Since]], data[[#This Row],[Date]], "D")</f>
        <v>575</v>
      </c>
      <c r="P198" s="5" t="str">
        <f>TEXT(data[[#This Row],[Date]], "mmm")</f>
        <v>Mar</v>
      </c>
      <c r="Q198" s="5">
        <f>ROUNDUP(MONTH(data[[#This Row],[Date]])/3,0)</f>
        <v>1</v>
      </c>
    </row>
    <row r="199" spans="1:17" x14ac:dyDescent="0.3">
      <c r="A199" s="4" t="s">
        <v>307</v>
      </c>
      <c r="B199" s="34">
        <v>45636</v>
      </c>
      <c r="C199" s="5" t="s">
        <v>120</v>
      </c>
      <c r="D199" s="5" t="s">
        <v>121</v>
      </c>
      <c r="E199" s="5" t="s">
        <v>114</v>
      </c>
      <c r="F199" s="5" t="s">
        <v>115</v>
      </c>
      <c r="G199" s="5" t="s">
        <v>33</v>
      </c>
      <c r="H199" s="5">
        <v>3</v>
      </c>
      <c r="I199" s="9">
        <v>79.989999999999995</v>
      </c>
      <c r="J199" s="5" t="s">
        <v>57</v>
      </c>
      <c r="K199" s="5" t="s">
        <v>63</v>
      </c>
      <c r="L199" s="5" t="s">
        <v>36</v>
      </c>
      <c r="M199" s="34">
        <v>44779</v>
      </c>
      <c r="N199" s="13">
        <v>239.97</v>
      </c>
      <c r="O199" s="16">
        <f>DATEDIF(data[[#This Row],[Customer_Since]], data[[#This Row],[Date]], "D")</f>
        <v>857</v>
      </c>
      <c r="P199" s="5" t="str">
        <f>TEXT(data[[#This Row],[Date]], "mmm")</f>
        <v>Dec</v>
      </c>
      <c r="Q199" s="5">
        <f>ROUNDUP(MONTH(data[[#This Row],[Date]])/3,0)</f>
        <v>4</v>
      </c>
    </row>
    <row r="200" spans="1:17" x14ac:dyDescent="0.3">
      <c r="A200" s="4" t="s">
        <v>378</v>
      </c>
      <c r="B200" s="34">
        <v>45724</v>
      </c>
      <c r="C200" s="5" t="s">
        <v>55</v>
      </c>
      <c r="D200" s="5" t="s">
        <v>56</v>
      </c>
      <c r="E200" s="5" t="s">
        <v>44</v>
      </c>
      <c r="F200" s="5" t="s">
        <v>45</v>
      </c>
      <c r="G200" s="5" t="s">
        <v>46</v>
      </c>
      <c r="H200" s="5">
        <v>4</v>
      </c>
      <c r="I200" s="9">
        <v>149.99</v>
      </c>
      <c r="J200" s="5" t="s">
        <v>20</v>
      </c>
      <c r="K200" s="5" t="s">
        <v>21</v>
      </c>
      <c r="L200" s="5" t="s">
        <v>36</v>
      </c>
      <c r="M200" s="34">
        <v>45263</v>
      </c>
      <c r="N200" s="13">
        <v>599.96</v>
      </c>
      <c r="O200" s="16">
        <f>DATEDIF(data[[#This Row],[Customer_Since]], data[[#This Row],[Date]], "D")</f>
        <v>461</v>
      </c>
      <c r="P200" s="5" t="str">
        <f>TEXT(data[[#This Row],[Date]], "mmm")</f>
        <v>Mar</v>
      </c>
      <c r="Q200" s="5">
        <f>ROUNDUP(MONTH(data[[#This Row],[Date]])/3,0)</f>
        <v>1</v>
      </c>
    </row>
    <row r="201" spans="1:17" x14ac:dyDescent="0.3">
      <c r="A201" s="4" t="s">
        <v>366</v>
      </c>
      <c r="B201" s="34">
        <v>45711</v>
      </c>
      <c r="C201" s="5" t="s">
        <v>325</v>
      </c>
      <c r="D201" s="5" t="s">
        <v>326</v>
      </c>
      <c r="E201" s="5" t="s">
        <v>44</v>
      </c>
      <c r="F201" s="5" t="s">
        <v>45</v>
      </c>
      <c r="G201" s="5" t="s">
        <v>46</v>
      </c>
      <c r="H201" s="5">
        <v>4</v>
      </c>
      <c r="I201" s="9">
        <v>149.99</v>
      </c>
      <c r="J201" s="5" t="s">
        <v>34</v>
      </c>
      <c r="K201" s="5" t="s">
        <v>40</v>
      </c>
      <c r="L201" s="5" t="s">
        <v>27</v>
      </c>
      <c r="M201" s="34">
        <v>44412</v>
      </c>
      <c r="N201" s="13">
        <v>599.96</v>
      </c>
      <c r="O201" s="16">
        <f>DATEDIF(data[[#This Row],[Customer_Since]], data[[#This Row],[Date]], "D")</f>
        <v>1299</v>
      </c>
      <c r="P201" s="5" t="str">
        <f>TEXT(data[[#This Row],[Date]], "mmm")</f>
        <v>Feb</v>
      </c>
      <c r="Q201" s="5">
        <f>ROUNDUP(MONTH(data[[#This Row],[Date]])/3,0)</f>
        <v>1</v>
      </c>
    </row>
    <row r="202" spans="1:17" x14ac:dyDescent="0.3">
      <c r="A202" s="4" t="s">
        <v>299</v>
      </c>
      <c r="B202" s="34">
        <v>45627</v>
      </c>
      <c r="C202" s="5" t="s">
        <v>86</v>
      </c>
      <c r="D202" s="5" t="s">
        <v>87</v>
      </c>
      <c r="E202" s="5" t="s">
        <v>80</v>
      </c>
      <c r="F202" s="5" t="s">
        <v>81</v>
      </c>
      <c r="G202" s="5" t="s">
        <v>19</v>
      </c>
      <c r="H202" s="5">
        <v>5</v>
      </c>
      <c r="I202" s="9">
        <v>699.99</v>
      </c>
      <c r="J202" s="5" t="s">
        <v>57</v>
      </c>
      <c r="K202" s="5" t="s">
        <v>50</v>
      </c>
      <c r="L202" s="5" t="s">
        <v>36</v>
      </c>
      <c r="M202" s="34">
        <v>44944</v>
      </c>
      <c r="N202" s="13">
        <v>3499.95</v>
      </c>
      <c r="O202" s="16">
        <f>DATEDIF(data[[#This Row],[Customer_Since]], data[[#This Row],[Date]], "D")</f>
        <v>683</v>
      </c>
      <c r="P202" s="5" t="str">
        <f>TEXT(data[[#This Row],[Date]], "mmm")</f>
        <v>Dec</v>
      </c>
      <c r="Q202" s="5">
        <f>ROUNDUP(MONTH(data[[#This Row],[Date]])/3,0)</f>
        <v>4</v>
      </c>
    </row>
    <row r="203" spans="1:17" x14ac:dyDescent="0.3">
      <c r="A203" s="4" t="s">
        <v>143</v>
      </c>
      <c r="B203" s="34">
        <v>45441</v>
      </c>
      <c r="C203" s="5" t="s">
        <v>144</v>
      </c>
      <c r="D203" s="5" t="s">
        <v>145</v>
      </c>
      <c r="E203" s="5" t="s">
        <v>117</v>
      </c>
      <c r="F203" s="5" t="s">
        <v>118</v>
      </c>
      <c r="G203" s="5" t="s">
        <v>19</v>
      </c>
      <c r="H203" s="5">
        <v>3</v>
      </c>
      <c r="I203" s="9">
        <v>89.99</v>
      </c>
      <c r="J203" s="5" t="s">
        <v>34</v>
      </c>
      <c r="K203" s="5" t="s">
        <v>21</v>
      </c>
      <c r="L203" s="5" t="s">
        <v>27</v>
      </c>
      <c r="M203" s="34">
        <v>45120</v>
      </c>
      <c r="N203" s="13">
        <v>269.97000000000003</v>
      </c>
      <c r="O203" s="16">
        <f>DATEDIF(data[[#This Row],[Customer_Since]], data[[#This Row],[Date]], "D")</f>
        <v>321</v>
      </c>
      <c r="P203" s="5" t="str">
        <f>TEXT(data[[#This Row],[Date]], "mmm")</f>
        <v>May</v>
      </c>
      <c r="Q203" s="5">
        <f>ROUNDUP(MONTH(data[[#This Row],[Date]])/3,0)</f>
        <v>2</v>
      </c>
    </row>
    <row r="204" spans="1:17" x14ac:dyDescent="0.3">
      <c r="A204" s="4" t="s">
        <v>263</v>
      </c>
      <c r="B204" s="34">
        <v>45572</v>
      </c>
      <c r="C204" s="5" t="s">
        <v>234</v>
      </c>
      <c r="D204" s="5" t="s">
        <v>235</v>
      </c>
      <c r="E204" s="5" t="s">
        <v>52</v>
      </c>
      <c r="F204" s="5" t="s">
        <v>53</v>
      </c>
      <c r="G204" s="5" t="s">
        <v>19</v>
      </c>
      <c r="H204" s="5">
        <v>4</v>
      </c>
      <c r="I204" s="9">
        <v>149.99</v>
      </c>
      <c r="J204" s="5" t="s">
        <v>26</v>
      </c>
      <c r="K204" s="5" t="s">
        <v>40</v>
      </c>
      <c r="L204" s="5" t="s">
        <v>27</v>
      </c>
      <c r="M204" s="34">
        <v>45076</v>
      </c>
      <c r="N204" s="13">
        <v>599.96</v>
      </c>
      <c r="O204" s="16">
        <f>DATEDIF(data[[#This Row],[Customer_Since]], data[[#This Row],[Date]], "D")</f>
        <v>496</v>
      </c>
      <c r="P204" s="5" t="str">
        <f>TEXT(data[[#This Row],[Date]], "mmm")</f>
        <v>Oct</v>
      </c>
      <c r="Q204" s="5">
        <f>ROUNDUP(MONTH(data[[#This Row],[Date]])/3,0)</f>
        <v>4</v>
      </c>
    </row>
    <row r="205" spans="1:17" x14ac:dyDescent="0.3">
      <c r="A205" s="4" t="s">
        <v>101</v>
      </c>
      <c r="B205" s="34">
        <v>45415</v>
      </c>
      <c r="C205" s="5" t="s">
        <v>102</v>
      </c>
      <c r="D205" s="5" t="s">
        <v>103</v>
      </c>
      <c r="E205" s="5" t="s">
        <v>17</v>
      </c>
      <c r="F205" s="5" t="s">
        <v>18</v>
      </c>
      <c r="G205" s="5" t="s">
        <v>19</v>
      </c>
      <c r="H205" s="5">
        <v>4</v>
      </c>
      <c r="I205" s="9">
        <v>249.99</v>
      </c>
      <c r="J205" s="5" t="s">
        <v>34</v>
      </c>
      <c r="K205" s="5" t="s">
        <v>40</v>
      </c>
      <c r="L205" s="5" t="s">
        <v>36</v>
      </c>
      <c r="M205" s="34">
        <v>44468</v>
      </c>
      <c r="N205" s="13">
        <v>999.96</v>
      </c>
      <c r="O205" s="16">
        <f>DATEDIF(data[[#This Row],[Customer_Since]], data[[#This Row],[Date]], "D")</f>
        <v>947</v>
      </c>
      <c r="P205" s="5" t="str">
        <f>TEXT(data[[#This Row],[Date]], "mmm")</f>
        <v>May</v>
      </c>
      <c r="Q205" s="5">
        <f>ROUNDUP(MONTH(data[[#This Row],[Date]])/3,0)</f>
        <v>2</v>
      </c>
    </row>
    <row r="206" spans="1:17" x14ac:dyDescent="0.3">
      <c r="A206" s="4" t="s">
        <v>215</v>
      </c>
      <c r="B206" s="34">
        <v>45515</v>
      </c>
      <c r="C206" s="5" t="s">
        <v>86</v>
      </c>
      <c r="D206" s="5" t="s">
        <v>87</v>
      </c>
      <c r="E206" s="5" t="s">
        <v>105</v>
      </c>
      <c r="F206" s="5" t="s">
        <v>106</v>
      </c>
      <c r="G206" s="5" t="s">
        <v>46</v>
      </c>
      <c r="H206" s="5">
        <v>5</v>
      </c>
      <c r="I206" s="9">
        <v>299.99</v>
      </c>
      <c r="J206" s="5" t="s">
        <v>26</v>
      </c>
      <c r="K206" s="5" t="s">
        <v>40</v>
      </c>
      <c r="L206" s="5" t="s">
        <v>22</v>
      </c>
      <c r="M206" s="34">
        <v>44965</v>
      </c>
      <c r="N206" s="13">
        <v>1499.95</v>
      </c>
      <c r="O206" s="16">
        <f>DATEDIF(data[[#This Row],[Customer_Since]], data[[#This Row],[Date]], "D")</f>
        <v>550</v>
      </c>
      <c r="P206" s="5" t="str">
        <f>TEXT(data[[#This Row],[Date]], "mmm")</f>
        <v>Aug</v>
      </c>
      <c r="Q206" s="5">
        <f>ROUNDUP(MONTH(data[[#This Row],[Date]])/3,0)</f>
        <v>3</v>
      </c>
    </row>
    <row r="207" spans="1:17" x14ac:dyDescent="0.3">
      <c r="A207" s="4" t="s">
        <v>295</v>
      </c>
      <c r="B207" s="34">
        <v>45623</v>
      </c>
      <c r="C207" s="5" t="s">
        <v>112</v>
      </c>
      <c r="D207" s="5" t="s">
        <v>113</v>
      </c>
      <c r="E207" s="5" t="s">
        <v>44</v>
      </c>
      <c r="F207" s="5" t="s">
        <v>45</v>
      </c>
      <c r="G207" s="5" t="s">
        <v>46</v>
      </c>
      <c r="H207" s="5">
        <v>2</v>
      </c>
      <c r="I207" s="9">
        <v>149.99</v>
      </c>
      <c r="J207" s="5" t="s">
        <v>20</v>
      </c>
      <c r="K207" s="5" t="s">
        <v>35</v>
      </c>
      <c r="L207" s="5" t="s">
        <v>36</v>
      </c>
      <c r="M207" s="34">
        <v>45101</v>
      </c>
      <c r="N207" s="13">
        <v>299.98</v>
      </c>
      <c r="O207" s="16">
        <f>DATEDIF(data[[#This Row],[Customer_Since]], data[[#This Row],[Date]], "D")</f>
        <v>522</v>
      </c>
      <c r="P207" s="5" t="str">
        <f>TEXT(data[[#This Row],[Date]], "mmm")</f>
        <v>Nov</v>
      </c>
      <c r="Q207" s="5">
        <f>ROUNDUP(MONTH(data[[#This Row],[Date]])/3,0)</f>
        <v>4</v>
      </c>
    </row>
    <row r="208" spans="1:17" x14ac:dyDescent="0.3">
      <c r="A208" s="4" t="s">
        <v>322</v>
      </c>
      <c r="B208" s="34">
        <v>45657</v>
      </c>
      <c r="C208" s="5" t="s">
        <v>86</v>
      </c>
      <c r="D208" s="5" t="s">
        <v>87</v>
      </c>
      <c r="E208" s="5" t="s">
        <v>61</v>
      </c>
      <c r="F208" s="5" t="s">
        <v>62</v>
      </c>
      <c r="G208" s="5" t="s">
        <v>19</v>
      </c>
      <c r="H208" s="5">
        <v>1</v>
      </c>
      <c r="I208" s="9">
        <v>899.99</v>
      </c>
      <c r="J208" s="5" t="s">
        <v>34</v>
      </c>
      <c r="K208" s="5" t="s">
        <v>40</v>
      </c>
      <c r="L208" s="5" t="s">
        <v>27</v>
      </c>
      <c r="M208" s="34">
        <v>45050</v>
      </c>
      <c r="N208" s="13">
        <v>899.99</v>
      </c>
      <c r="O208" s="16">
        <f>DATEDIF(data[[#This Row],[Customer_Since]], data[[#This Row],[Date]], "D")</f>
        <v>607</v>
      </c>
      <c r="P208" s="5" t="str">
        <f>TEXT(data[[#This Row],[Date]], "mmm")</f>
        <v>Dec</v>
      </c>
      <c r="Q208" s="5">
        <f>ROUNDUP(MONTH(data[[#This Row],[Date]])/3,0)</f>
        <v>4</v>
      </c>
    </row>
    <row r="209" spans="1:17" x14ac:dyDescent="0.3">
      <c r="A209" s="4" t="s">
        <v>153</v>
      </c>
      <c r="B209" s="34">
        <v>45446</v>
      </c>
      <c r="C209" s="5" t="s">
        <v>154</v>
      </c>
      <c r="D209" s="5" t="s">
        <v>155</v>
      </c>
      <c r="E209" s="5" t="s">
        <v>117</v>
      </c>
      <c r="F209" s="5" t="s">
        <v>118</v>
      </c>
      <c r="G209" s="5" t="s">
        <v>19</v>
      </c>
      <c r="H209" s="5">
        <v>5</v>
      </c>
      <c r="I209" s="9">
        <v>89.99</v>
      </c>
      <c r="J209" s="5" t="s">
        <v>26</v>
      </c>
      <c r="K209" s="5" t="s">
        <v>63</v>
      </c>
      <c r="L209" s="5" t="s">
        <v>36</v>
      </c>
      <c r="M209" s="34">
        <v>44587</v>
      </c>
      <c r="N209" s="13">
        <v>449.95</v>
      </c>
      <c r="O209" s="16">
        <f>DATEDIF(data[[#This Row],[Customer_Since]], data[[#This Row],[Date]], "D")</f>
        <v>859</v>
      </c>
      <c r="P209" s="5" t="str">
        <f>TEXT(data[[#This Row],[Date]], "mmm")</f>
        <v>Jun</v>
      </c>
      <c r="Q209" s="5">
        <f>ROUNDUP(MONTH(data[[#This Row],[Date]])/3,0)</f>
        <v>2</v>
      </c>
    </row>
    <row r="210" spans="1:17" x14ac:dyDescent="0.3">
      <c r="A210" s="4" t="s">
        <v>70</v>
      </c>
      <c r="B210" s="34">
        <v>45408</v>
      </c>
      <c r="C210" s="5" t="s">
        <v>38</v>
      </c>
      <c r="D210" s="5" t="s">
        <v>39</v>
      </c>
      <c r="E210" s="5" t="s">
        <v>44</v>
      </c>
      <c r="F210" s="5" t="s">
        <v>45</v>
      </c>
      <c r="G210" s="5" t="s">
        <v>46</v>
      </c>
      <c r="H210" s="5">
        <v>5</v>
      </c>
      <c r="I210" s="9">
        <v>149.99</v>
      </c>
      <c r="J210" s="5" t="s">
        <v>57</v>
      </c>
      <c r="K210" s="5" t="s">
        <v>40</v>
      </c>
      <c r="L210" s="5" t="s">
        <v>22</v>
      </c>
      <c r="M210" s="34">
        <v>44830</v>
      </c>
      <c r="N210" s="13">
        <v>749.95</v>
      </c>
      <c r="O210" s="16">
        <f>DATEDIF(data[[#This Row],[Customer_Since]], data[[#This Row],[Date]], "D")</f>
        <v>578</v>
      </c>
      <c r="P210" s="5" t="str">
        <f>TEXT(data[[#This Row],[Date]], "mmm")</f>
        <v>Apr</v>
      </c>
      <c r="Q210" s="5">
        <f>ROUNDUP(MONTH(data[[#This Row],[Date]])/3,0)</f>
        <v>2</v>
      </c>
    </row>
    <row r="211" spans="1:17" x14ac:dyDescent="0.3">
      <c r="A211" s="4" t="s">
        <v>285</v>
      </c>
      <c r="B211" s="34">
        <v>45608</v>
      </c>
      <c r="C211" s="5" t="s">
        <v>154</v>
      </c>
      <c r="D211" s="5" t="s">
        <v>155</v>
      </c>
      <c r="E211" s="5" t="s">
        <v>44</v>
      </c>
      <c r="F211" s="5" t="s">
        <v>45</v>
      </c>
      <c r="G211" s="5" t="s">
        <v>46</v>
      </c>
      <c r="H211" s="5">
        <v>5</v>
      </c>
      <c r="I211" s="9">
        <v>149.99</v>
      </c>
      <c r="J211" s="5" t="s">
        <v>34</v>
      </c>
      <c r="K211" s="5" t="s">
        <v>21</v>
      </c>
      <c r="L211" s="5" t="s">
        <v>22</v>
      </c>
      <c r="M211" s="34">
        <v>44901</v>
      </c>
      <c r="N211" s="13">
        <v>749.95</v>
      </c>
      <c r="O211" s="16">
        <f>DATEDIF(data[[#This Row],[Customer_Since]], data[[#This Row],[Date]], "D")</f>
        <v>707</v>
      </c>
      <c r="P211" s="5" t="str">
        <f>TEXT(data[[#This Row],[Date]], "mmm")</f>
        <v>Nov</v>
      </c>
      <c r="Q211" s="5">
        <f>ROUNDUP(MONTH(data[[#This Row],[Date]])/3,0)</f>
        <v>4</v>
      </c>
    </row>
    <row r="212" spans="1:17" x14ac:dyDescent="0.3">
      <c r="A212" s="4" t="s">
        <v>244</v>
      </c>
      <c r="B212" s="34">
        <v>45548</v>
      </c>
      <c r="C212" s="5" t="s">
        <v>38</v>
      </c>
      <c r="D212" s="5" t="s">
        <v>39</v>
      </c>
      <c r="E212" s="5" t="s">
        <v>117</v>
      </c>
      <c r="F212" s="5" t="s">
        <v>118</v>
      </c>
      <c r="G212" s="5" t="s">
        <v>19</v>
      </c>
      <c r="H212" s="5">
        <v>2</v>
      </c>
      <c r="I212" s="9">
        <v>89.99</v>
      </c>
      <c r="J212" s="5" t="s">
        <v>26</v>
      </c>
      <c r="K212" s="5" t="s">
        <v>35</v>
      </c>
      <c r="L212" s="5" t="s">
        <v>27</v>
      </c>
      <c r="M212" s="34">
        <v>44641</v>
      </c>
      <c r="N212" s="13">
        <v>179.98</v>
      </c>
      <c r="O212" s="16">
        <f>DATEDIF(data[[#This Row],[Customer_Since]], data[[#This Row],[Date]], "D")</f>
        <v>907</v>
      </c>
      <c r="P212" s="5" t="str">
        <f>TEXT(data[[#This Row],[Date]], "mmm")</f>
        <v>Sep</v>
      </c>
      <c r="Q212" s="5">
        <f>ROUNDUP(MONTH(data[[#This Row],[Date]])/3,0)</f>
        <v>3</v>
      </c>
    </row>
    <row r="213" spans="1:17" x14ac:dyDescent="0.3">
      <c r="A213" s="4" t="s">
        <v>41</v>
      </c>
      <c r="B213" s="34">
        <v>45400</v>
      </c>
      <c r="C213" s="5" t="s">
        <v>42</v>
      </c>
      <c r="D213" s="5" t="s">
        <v>43</v>
      </c>
      <c r="E213" s="5" t="s">
        <v>44</v>
      </c>
      <c r="F213" s="5" t="s">
        <v>45</v>
      </c>
      <c r="G213" s="5" t="s">
        <v>46</v>
      </c>
      <c r="H213" s="5">
        <v>5</v>
      </c>
      <c r="I213" s="9">
        <v>149.99</v>
      </c>
      <c r="J213" s="5" t="s">
        <v>26</v>
      </c>
      <c r="K213" s="5" t="s">
        <v>40</v>
      </c>
      <c r="L213" s="5" t="s">
        <v>27</v>
      </c>
      <c r="M213" s="34">
        <v>45295</v>
      </c>
      <c r="N213" s="13">
        <v>749.95</v>
      </c>
      <c r="O213" s="16">
        <f>DATEDIF(data[[#This Row],[Customer_Since]], data[[#This Row],[Date]], "D")</f>
        <v>105</v>
      </c>
      <c r="P213" s="5" t="str">
        <f>TEXT(data[[#This Row],[Date]], "mmm")</f>
        <v>Apr</v>
      </c>
      <c r="Q213" s="5">
        <f>ROUNDUP(MONTH(data[[#This Row],[Date]])/3,0)</f>
        <v>2</v>
      </c>
    </row>
    <row r="214" spans="1:17" x14ac:dyDescent="0.3">
      <c r="A214" s="4" t="s">
        <v>389</v>
      </c>
      <c r="B214" s="34">
        <v>45745</v>
      </c>
      <c r="C214" s="5" t="s">
        <v>185</v>
      </c>
      <c r="D214" s="5" t="s">
        <v>186</v>
      </c>
      <c r="E214" s="5" t="s">
        <v>117</v>
      </c>
      <c r="F214" s="5" t="s">
        <v>118</v>
      </c>
      <c r="G214" s="5" t="s">
        <v>19</v>
      </c>
      <c r="H214" s="5">
        <v>5</v>
      </c>
      <c r="I214" s="9">
        <v>89.99</v>
      </c>
      <c r="J214" s="5" t="s">
        <v>34</v>
      </c>
      <c r="K214" s="5" t="s">
        <v>35</v>
      </c>
      <c r="L214" s="5" t="s">
        <v>22</v>
      </c>
      <c r="M214" s="34">
        <v>44704</v>
      </c>
      <c r="N214" s="13">
        <v>449.95</v>
      </c>
      <c r="O214" s="16">
        <f>DATEDIF(data[[#This Row],[Customer_Since]], data[[#This Row],[Date]], "D")</f>
        <v>1041</v>
      </c>
      <c r="P214" s="5" t="str">
        <f>TEXT(data[[#This Row],[Date]], "mmm")</f>
        <v>Mar</v>
      </c>
      <c r="Q214" s="5">
        <f>ROUNDUP(MONTH(data[[#This Row],[Date]])/3,0)</f>
        <v>1</v>
      </c>
    </row>
    <row r="215" spans="1:17" x14ac:dyDescent="0.3">
      <c r="A215" s="4" t="s">
        <v>361</v>
      </c>
      <c r="B215" s="34">
        <v>45708</v>
      </c>
      <c r="C215" s="5" t="s">
        <v>96</v>
      </c>
      <c r="D215" s="5" t="s">
        <v>97</v>
      </c>
      <c r="E215" s="5" t="s">
        <v>61</v>
      </c>
      <c r="F215" s="5" t="s">
        <v>62</v>
      </c>
      <c r="G215" s="5" t="s">
        <v>19</v>
      </c>
      <c r="H215" s="5">
        <v>3</v>
      </c>
      <c r="I215" s="9">
        <v>899.99</v>
      </c>
      <c r="J215" s="5" t="s">
        <v>20</v>
      </c>
      <c r="K215" s="5" t="s">
        <v>63</v>
      </c>
      <c r="L215" s="5" t="s">
        <v>36</v>
      </c>
      <c r="M215" s="34">
        <v>44613</v>
      </c>
      <c r="N215" s="13">
        <v>2699.97</v>
      </c>
      <c r="O215" s="16">
        <f>DATEDIF(data[[#This Row],[Customer_Since]], data[[#This Row],[Date]], "D")</f>
        <v>1095</v>
      </c>
      <c r="P215" s="5" t="str">
        <f>TEXT(data[[#This Row],[Date]], "mmm")</f>
        <v>Feb</v>
      </c>
      <c r="Q215" s="5">
        <f>ROUNDUP(MONTH(data[[#This Row],[Date]])/3,0)</f>
        <v>1</v>
      </c>
    </row>
    <row r="216" spans="1:17" x14ac:dyDescent="0.3">
      <c r="A216" s="4" t="s">
        <v>203</v>
      </c>
      <c r="B216" s="34">
        <v>45498</v>
      </c>
      <c r="C216" s="5" t="s">
        <v>196</v>
      </c>
      <c r="D216" s="5" t="s">
        <v>197</v>
      </c>
      <c r="E216" s="5" t="s">
        <v>17</v>
      </c>
      <c r="F216" s="5" t="s">
        <v>18</v>
      </c>
      <c r="G216" s="5" t="s">
        <v>19</v>
      </c>
      <c r="H216" s="5">
        <v>4</v>
      </c>
      <c r="I216" s="9">
        <v>249.99</v>
      </c>
      <c r="J216" s="5" t="s">
        <v>57</v>
      </c>
      <c r="K216" s="5" t="s">
        <v>21</v>
      </c>
      <c r="L216" s="5" t="s">
        <v>36</v>
      </c>
      <c r="M216" s="34">
        <v>45127</v>
      </c>
      <c r="N216" s="13">
        <v>999.96</v>
      </c>
      <c r="O216" s="16">
        <f>DATEDIF(data[[#This Row],[Customer_Since]], data[[#This Row],[Date]], "D")</f>
        <v>371</v>
      </c>
      <c r="P216" s="5" t="str">
        <f>TEXT(data[[#This Row],[Date]], "mmm")</f>
        <v>Jul</v>
      </c>
      <c r="Q216" s="5">
        <f>ROUNDUP(MONTH(data[[#This Row],[Date]])/3,0)</f>
        <v>3</v>
      </c>
    </row>
    <row r="217" spans="1:17" x14ac:dyDescent="0.3">
      <c r="A217" s="4" t="s">
        <v>198</v>
      </c>
      <c r="B217" s="34">
        <v>45490</v>
      </c>
      <c r="C217" s="5" t="s">
        <v>72</v>
      </c>
      <c r="D217" s="5" t="s">
        <v>73</v>
      </c>
      <c r="E217" s="5" t="s">
        <v>44</v>
      </c>
      <c r="F217" s="5" t="s">
        <v>45</v>
      </c>
      <c r="G217" s="5" t="s">
        <v>46</v>
      </c>
      <c r="H217" s="5">
        <v>3</v>
      </c>
      <c r="I217" s="9">
        <v>149.99</v>
      </c>
      <c r="J217" s="5" t="s">
        <v>20</v>
      </c>
      <c r="K217" s="5" t="s">
        <v>21</v>
      </c>
      <c r="L217" s="5" t="s">
        <v>27</v>
      </c>
      <c r="M217" s="34">
        <v>45199</v>
      </c>
      <c r="N217" s="13">
        <v>449.97</v>
      </c>
      <c r="O217" s="16">
        <f>DATEDIF(data[[#This Row],[Customer_Since]], data[[#This Row],[Date]], "D")</f>
        <v>291</v>
      </c>
      <c r="P217" s="5" t="str">
        <f>TEXT(data[[#This Row],[Date]], "mmm")</f>
        <v>Jul</v>
      </c>
      <c r="Q217" s="5">
        <f>ROUNDUP(MONTH(data[[#This Row],[Date]])/3,0)</f>
        <v>3</v>
      </c>
    </row>
    <row r="218" spans="1:17" x14ac:dyDescent="0.3">
      <c r="A218" s="4" t="s">
        <v>208</v>
      </c>
      <c r="B218" s="34">
        <v>45503</v>
      </c>
      <c r="C218" s="5" t="s">
        <v>86</v>
      </c>
      <c r="D218" s="5" t="s">
        <v>87</v>
      </c>
      <c r="E218" s="5" t="s">
        <v>80</v>
      </c>
      <c r="F218" s="5" t="s">
        <v>81</v>
      </c>
      <c r="G218" s="5" t="s">
        <v>19</v>
      </c>
      <c r="H218" s="5">
        <v>2</v>
      </c>
      <c r="I218" s="9">
        <v>699.99</v>
      </c>
      <c r="J218" s="5" t="s">
        <v>26</v>
      </c>
      <c r="K218" s="5" t="s">
        <v>40</v>
      </c>
      <c r="L218" s="5" t="s">
        <v>27</v>
      </c>
      <c r="M218" s="34">
        <v>44999</v>
      </c>
      <c r="N218" s="13">
        <v>1399.98</v>
      </c>
      <c r="O218" s="16">
        <f>DATEDIF(data[[#This Row],[Customer_Since]], data[[#This Row],[Date]], "D")</f>
        <v>504</v>
      </c>
      <c r="P218" s="5" t="str">
        <f>TEXT(data[[#This Row],[Date]], "mmm")</f>
        <v>Jul</v>
      </c>
      <c r="Q218" s="5">
        <f>ROUNDUP(MONTH(data[[#This Row],[Date]])/3,0)</f>
        <v>3</v>
      </c>
    </row>
    <row r="219" spans="1:17" x14ac:dyDescent="0.3">
      <c r="A219" s="4" t="s">
        <v>265</v>
      </c>
      <c r="B219" s="34">
        <v>45573</v>
      </c>
      <c r="C219" s="5" t="s">
        <v>231</v>
      </c>
      <c r="D219" s="5" t="s">
        <v>232</v>
      </c>
      <c r="E219" s="5" t="s">
        <v>44</v>
      </c>
      <c r="F219" s="5" t="s">
        <v>45</v>
      </c>
      <c r="G219" s="5" t="s">
        <v>46</v>
      </c>
      <c r="H219" s="5">
        <v>3</v>
      </c>
      <c r="I219" s="9">
        <v>149.99</v>
      </c>
      <c r="J219" s="5" t="s">
        <v>26</v>
      </c>
      <c r="K219" s="5" t="s">
        <v>35</v>
      </c>
      <c r="L219" s="5" t="s">
        <v>36</v>
      </c>
      <c r="M219" s="34">
        <v>44940</v>
      </c>
      <c r="N219" s="13">
        <v>449.97</v>
      </c>
      <c r="O219" s="16">
        <f>DATEDIF(data[[#This Row],[Customer_Since]], data[[#This Row],[Date]], "D")</f>
        <v>633</v>
      </c>
      <c r="P219" s="5" t="str">
        <f>TEXT(data[[#This Row],[Date]], "mmm")</f>
        <v>Oct</v>
      </c>
      <c r="Q219" s="5">
        <f>ROUNDUP(MONTH(data[[#This Row],[Date]])/3,0)</f>
        <v>4</v>
      </c>
    </row>
    <row r="220" spans="1:17" x14ac:dyDescent="0.3">
      <c r="A220" s="4" t="s">
        <v>351</v>
      </c>
      <c r="B220" s="34">
        <v>45692</v>
      </c>
      <c r="C220" s="5" t="s">
        <v>325</v>
      </c>
      <c r="D220" s="5" t="s">
        <v>326</v>
      </c>
      <c r="E220" s="5" t="s">
        <v>31</v>
      </c>
      <c r="F220" s="5" t="s">
        <v>32</v>
      </c>
      <c r="G220" s="5" t="s">
        <v>33</v>
      </c>
      <c r="H220" s="5">
        <v>1</v>
      </c>
      <c r="I220" s="9">
        <v>59.99</v>
      </c>
      <c r="J220" s="5" t="s">
        <v>57</v>
      </c>
      <c r="K220" s="5" t="s">
        <v>21</v>
      </c>
      <c r="L220" s="5" t="s">
        <v>36</v>
      </c>
      <c r="M220" s="34">
        <v>45045</v>
      </c>
      <c r="N220" s="13">
        <v>59.99</v>
      </c>
      <c r="O220" s="16">
        <f>DATEDIF(data[[#This Row],[Customer_Since]], data[[#This Row],[Date]], "D")</f>
        <v>647</v>
      </c>
      <c r="P220" s="5" t="str">
        <f>TEXT(data[[#This Row],[Date]], "mmm")</f>
        <v>Feb</v>
      </c>
      <c r="Q220" s="5">
        <f>ROUNDUP(MONTH(data[[#This Row],[Date]])/3,0)</f>
        <v>1</v>
      </c>
    </row>
    <row r="221" spans="1:17" x14ac:dyDescent="0.3">
      <c r="A221" s="4" t="s">
        <v>160</v>
      </c>
      <c r="B221" s="34">
        <v>45450</v>
      </c>
      <c r="C221" s="5" t="s">
        <v>42</v>
      </c>
      <c r="D221" s="5" t="s">
        <v>43</v>
      </c>
      <c r="E221" s="5" t="s">
        <v>44</v>
      </c>
      <c r="F221" s="5" t="s">
        <v>45</v>
      </c>
      <c r="G221" s="5" t="s">
        <v>46</v>
      </c>
      <c r="H221" s="5">
        <v>2</v>
      </c>
      <c r="I221" s="9">
        <v>149.99</v>
      </c>
      <c r="J221" s="5" t="s">
        <v>20</v>
      </c>
      <c r="K221" s="5" t="s">
        <v>63</v>
      </c>
      <c r="L221" s="5" t="s">
        <v>27</v>
      </c>
      <c r="M221" s="34">
        <v>44645</v>
      </c>
      <c r="N221" s="13">
        <v>299.98</v>
      </c>
      <c r="O221" s="16">
        <f>DATEDIF(data[[#This Row],[Customer_Since]], data[[#This Row],[Date]], "D")</f>
        <v>805</v>
      </c>
      <c r="P221" s="5" t="str">
        <f>TEXT(data[[#This Row],[Date]], "mmm")</f>
        <v>Jun</v>
      </c>
      <c r="Q221" s="5">
        <f>ROUNDUP(MONTH(data[[#This Row],[Date]])/3,0)</f>
        <v>2</v>
      </c>
    </row>
    <row r="222" spans="1:17" x14ac:dyDescent="0.3">
      <c r="A222" s="4" t="s">
        <v>362</v>
      </c>
      <c r="B222" s="34">
        <v>45708</v>
      </c>
      <c r="C222" s="5" t="s">
        <v>192</v>
      </c>
      <c r="D222" s="5" t="s">
        <v>193</v>
      </c>
      <c r="E222" s="5" t="s">
        <v>126</v>
      </c>
      <c r="F222" s="5" t="s">
        <v>127</v>
      </c>
      <c r="G222" s="5" t="s">
        <v>46</v>
      </c>
      <c r="H222" s="5">
        <v>3</v>
      </c>
      <c r="I222" s="9">
        <v>199.99</v>
      </c>
      <c r="J222" s="5" t="s">
        <v>20</v>
      </c>
      <c r="K222" s="5" t="s">
        <v>50</v>
      </c>
      <c r="L222" s="5" t="s">
        <v>27</v>
      </c>
      <c r="M222" s="34">
        <v>44823</v>
      </c>
      <c r="N222" s="13">
        <v>599.97</v>
      </c>
      <c r="O222" s="16">
        <f>DATEDIF(data[[#This Row],[Customer_Since]], data[[#This Row],[Date]], "D")</f>
        <v>885</v>
      </c>
      <c r="P222" s="5" t="str">
        <f>TEXT(data[[#This Row],[Date]], "mmm")</f>
        <v>Feb</v>
      </c>
      <c r="Q222" s="5">
        <f>ROUNDUP(MONTH(data[[#This Row],[Date]])/3,0)</f>
        <v>1</v>
      </c>
    </row>
    <row r="223" spans="1:17" x14ac:dyDescent="0.3">
      <c r="A223" s="4" t="s">
        <v>92</v>
      </c>
      <c r="B223" s="34">
        <v>45410</v>
      </c>
      <c r="C223" s="5" t="s">
        <v>93</v>
      </c>
      <c r="D223" s="5" t="s">
        <v>94</v>
      </c>
      <c r="E223" s="5" t="s">
        <v>17</v>
      </c>
      <c r="F223" s="5" t="s">
        <v>18</v>
      </c>
      <c r="G223" s="5" t="s">
        <v>19</v>
      </c>
      <c r="H223" s="5">
        <v>3</v>
      </c>
      <c r="I223" s="9">
        <v>249.99</v>
      </c>
      <c r="J223" s="5" t="s">
        <v>26</v>
      </c>
      <c r="K223" s="5" t="s">
        <v>40</v>
      </c>
      <c r="L223" s="5" t="s">
        <v>27</v>
      </c>
      <c r="M223" s="34">
        <v>45224</v>
      </c>
      <c r="N223" s="13">
        <v>749.97</v>
      </c>
      <c r="O223" s="16">
        <f>DATEDIF(data[[#This Row],[Customer_Since]], data[[#This Row],[Date]], "D")</f>
        <v>186</v>
      </c>
      <c r="P223" s="5" t="str">
        <f>TEXT(data[[#This Row],[Date]], "mmm")</f>
        <v>Apr</v>
      </c>
      <c r="Q223" s="5">
        <f>ROUNDUP(MONTH(data[[#This Row],[Date]])/3,0)</f>
        <v>2</v>
      </c>
    </row>
    <row r="224" spans="1:17" x14ac:dyDescent="0.3">
      <c r="A224" s="4" t="s">
        <v>330</v>
      </c>
      <c r="B224" s="34">
        <v>45667</v>
      </c>
      <c r="C224" s="5" t="s">
        <v>108</v>
      </c>
      <c r="D224" s="5" t="s">
        <v>109</v>
      </c>
      <c r="E224" s="5" t="s">
        <v>126</v>
      </c>
      <c r="F224" s="5" t="s">
        <v>127</v>
      </c>
      <c r="G224" s="5" t="s">
        <v>46</v>
      </c>
      <c r="H224" s="5">
        <v>5</v>
      </c>
      <c r="I224" s="9">
        <v>199.99</v>
      </c>
      <c r="J224" s="5" t="s">
        <v>34</v>
      </c>
      <c r="K224" s="5" t="s">
        <v>21</v>
      </c>
      <c r="L224" s="5" t="s">
        <v>36</v>
      </c>
      <c r="M224" s="34">
        <v>44633</v>
      </c>
      <c r="N224" s="13">
        <v>999.95</v>
      </c>
      <c r="O224" s="16">
        <f>DATEDIF(data[[#This Row],[Customer_Since]], data[[#This Row],[Date]], "D")</f>
        <v>1034</v>
      </c>
      <c r="P224" s="5" t="str">
        <f>TEXT(data[[#This Row],[Date]], "mmm")</f>
        <v>Jan</v>
      </c>
      <c r="Q224" s="5">
        <f>ROUNDUP(MONTH(data[[#This Row],[Date]])/3,0)</f>
        <v>1</v>
      </c>
    </row>
    <row r="225" spans="1:17" x14ac:dyDescent="0.3">
      <c r="A225" s="4" t="s">
        <v>310</v>
      </c>
      <c r="B225" s="34">
        <v>45641</v>
      </c>
      <c r="C225" s="5" t="s">
        <v>138</v>
      </c>
      <c r="D225" s="5" t="s">
        <v>139</v>
      </c>
      <c r="E225" s="5" t="s">
        <v>105</v>
      </c>
      <c r="F225" s="5" t="s">
        <v>106</v>
      </c>
      <c r="G225" s="5" t="s">
        <v>46</v>
      </c>
      <c r="H225" s="5">
        <v>2</v>
      </c>
      <c r="I225" s="9">
        <v>299.99</v>
      </c>
      <c r="J225" s="5" t="s">
        <v>20</v>
      </c>
      <c r="K225" s="5" t="s">
        <v>63</v>
      </c>
      <c r="L225" s="5" t="s">
        <v>27</v>
      </c>
      <c r="M225" s="34">
        <v>44724</v>
      </c>
      <c r="N225" s="13">
        <v>599.98</v>
      </c>
      <c r="O225" s="16">
        <f>DATEDIF(data[[#This Row],[Customer_Since]], data[[#This Row],[Date]], "D")</f>
        <v>917</v>
      </c>
      <c r="P225" s="5" t="str">
        <f>TEXT(data[[#This Row],[Date]], "mmm")</f>
        <v>Dec</v>
      </c>
      <c r="Q225" s="5">
        <f>ROUNDUP(MONTH(data[[#This Row],[Date]])/3,0)</f>
        <v>4</v>
      </c>
    </row>
    <row r="226" spans="1:17" x14ac:dyDescent="0.3">
      <c r="A226" s="4" t="s">
        <v>238</v>
      </c>
      <c r="B226" s="34">
        <v>45538</v>
      </c>
      <c r="C226" s="5" t="s">
        <v>226</v>
      </c>
      <c r="D226" s="5" t="s">
        <v>227</v>
      </c>
      <c r="E226" s="5" t="s">
        <v>80</v>
      </c>
      <c r="F226" s="5" t="s">
        <v>81</v>
      </c>
      <c r="G226" s="5" t="s">
        <v>19</v>
      </c>
      <c r="H226" s="5">
        <v>2</v>
      </c>
      <c r="I226" s="9">
        <v>699.99</v>
      </c>
      <c r="J226" s="5" t="s">
        <v>57</v>
      </c>
      <c r="K226" s="5" t="s">
        <v>21</v>
      </c>
      <c r="L226" s="5" t="s">
        <v>27</v>
      </c>
      <c r="M226" s="34">
        <v>44870</v>
      </c>
      <c r="N226" s="13">
        <v>1399.98</v>
      </c>
      <c r="O226" s="16">
        <f>DATEDIF(data[[#This Row],[Customer_Since]], data[[#This Row],[Date]], "D")</f>
        <v>668</v>
      </c>
      <c r="P226" s="5" t="str">
        <f>TEXT(data[[#This Row],[Date]], "mmm")</f>
        <v>Sep</v>
      </c>
      <c r="Q226" s="5">
        <f>ROUNDUP(MONTH(data[[#This Row],[Date]])/3,0)</f>
        <v>3</v>
      </c>
    </row>
    <row r="227" spans="1:17" x14ac:dyDescent="0.3">
      <c r="A227" s="4" t="s">
        <v>372</v>
      </c>
      <c r="B227" s="34">
        <v>45720</v>
      </c>
      <c r="C227" s="5" t="s">
        <v>226</v>
      </c>
      <c r="D227" s="5" t="s">
        <v>227</v>
      </c>
      <c r="E227" s="5" t="s">
        <v>80</v>
      </c>
      <c r="F227" s="5" t="s">
        <v>81</v>
      </c>
      <c r="G227" s="5" t="s">
        <v>19</v>
      </c>
      <c r="H227" s="5">
        <v>5</v>
      </c>
      <c r="I227" s="9">
        <v>699.99</v>
      </c>
      <c r="J227" s="5" t="s">
        <v>57</v>
      </c>
      <c r="K227" s="5" t="s">
        <v>63</v>
      </c>
      <c r="L227" s="5" t="s">
        <v>27</v>
      </c>
      <c r="M227" s="34">
        <v>45161</v>
      </c>
      <c r="N227" s="13">
        <v>3499.95</v>
      </c>
      <c r="O227" s="16">
        <f>DATEDIF(data[[#This Row],[Customer_Since]], data[[#This Row],[Date]], "D")</f>
        <v>559</v>
      </c>
      <c r="P227" s="5" t="str">
        <f>TEXT(data[[#This Row],[Date]], "mmm")</f>
        <v>Mar</v>
      </c>
      <c r="Q227" s="5">
        <f>ROUNDUP(MONTH(data[[#This Row],[Date]])/3,0)</f>
        <v>1</v>
      </c>
    </row>
    <row r="228" spans="1:17" x14ac:dyDescent="0.3">
      <c r="A228" s="4" t="s">
        <v>371</v>
      </c>
      <c r="B228" s="34">
        <v>45718</v>
      </c>
      <c r="C228" s="5" t="s">
        <v>55</v>
      </c>
      <c r="D228" s="5" t="s">
        <v>56</v>
      </c>
      <c r="E228" s="5" t="s">
        <v>44</v>
      </c>
      <c r="F228" s="5" t="s">
        <v>45</v>
      </c>
      <c r="G228" s="5" t="s">
        <v>46</v>
      </c>
      <c r="H228" s="5">
        <v>2</v>
      </c>
      <c r="I228" s="9">
        <v>149.99</v>
      </c>
      <c r="J228" s="5" t="s">
        <v>20</v>
      </c>
      <c r="K228" s="5" t="s">
        <v>21</v>
      </c>
      <c r="L228" s="5" t="s">
        <v>22</v>
      </c>
      <c r="M228" s="34">
        <v>45068</v>
      </c>
      <c r="N228" s="13">
        <v>299.98</v>
      </c>
      <c r="O228" s="16">
        <f>DATEDIF(data[[#This Row],[Customer_Since]], data[[#This Row],[Date]], "D")</f>
        <v>650</v>
      </c>
      <c r="P228" s="5" t="str">
        <f>TEXT(data[[#This Row],[Date]], "mmm")</f>
        <v>Mar</v>
      </c>
      <c r="Q228" s="5">
        <f>ROUNDUP(MONTH(data[[#This Row],[Date]])/3,0)</f>
        <v>1</v>
      </c>
    </row>
    <row r="229" spans="1:17" x14ac:dyDescent="0.3">
      <c r="A229" s="4" t="s">
        <v>205</v>
      </c>
      <c r="B229" s="34">
        <v>45500</v>
      </c>
      <c r="C229" s="5" t="s">
        <v>147</v>
      </c>
      <c r="D229" s="5" t="s">
        <v>148</v>
      </c>
      <c r="E229" s="5" t="s">
        <v>105</v>
      </c>
      <c r="F229" s="5" t="s">
        <v>106</v>
      </c>
      <c r="G229" s="5" t="s">
        <v>46</v>
      </c>
      <c r="H229" s="5">
        <v>1</v>
      </c>
      <c r="I229" s="9">
        <v>299.99</v>
      </c>
      <c r="J229" s="5" t="s">
        <v>20</v>
      </c>
      <c r="K229" s="5" t="s">
        <v>35</v>
      </c>
      <c r="L229" s="5" t="s">
        <v>22</v>
      </c>
      <c r="M229" s="34">
        <v>44982</v>
      </c>
      <c r="N229" s="13">
        <v>299.99</v>
      </c>
      <c r="O229" s="16">
        <f>DATEDIF(data[[#This Row],[Customer_Since]], data[[#This Row],[Date]], "D")</f>
        <v>518</v>
      </c>
      <c r="P229" s="5" t="str">
        <f>TEXT(data[[#This Row],[Date]], "mmm")</f>
        <v>Jul</v>
      </c>
      <c r="Q229" s="5">
        <f>ROUNDUP(MONTH(data[[#This Row],[Date]])/3,0)</f>
        <v>3</v>
      </c>
    </row>
    <row r="230" spans="1:17" x14ac:dyDescent="0.3">
      <c r="A230" s="4" t="s">
        <v>369</v>
      </c>
      <c r="B230" s="34">
        <v>45715</v>
      </c>
      <c r="C230" s="5" t="s">
        <v>259</v>
      </c>
      <c r="D230" s="5" t="s">
        <v>260</v>
      </c>
      <c r="E230" s="5" t="s">
        <v>31</v>
      </c>
      <c r="F230" s="5" t="s">
        <v>32</v>
      </c>
      <c r="G230" s="5" t="s">
        <v>33</v>
      </c>
      <c r="H230" s="5">
        <v>4</v>
      </c>
      <c r="I230" s="9">
        <v>59.99</v>
      </c>
      <c r="J230" s="5" t="s">
        <v>20</v>
      </c>
      <c r="K230" s="5" t="s">
        <v>50</v>
      </c>
      <c r="L230" s="5" t="s">
        <v>36</v>
      </c>
      <c r="M230" s="34">
        <v>45070</v>
      </c>
      <c r="N230" s="13">
        <v>239.96</v>
      </c>
      <c r="O230" s="16">
        <f>DATEDIF(data[[#This Row],[Customer_Since]], data[[#This Row],[Date]], "D")</f>
        <v>645</v>
      </c>
      <c r="P230" s="5" t="str">
        <f>TEXT(data[[#This Row],[Date]], "mmm")</f>
        <v>Feb</v>
      </c>
      <c r="Q230" s="5">
        <f>ROUNDUP(MONTH(data[[#This Row],[Date]])/3,0)</f>
        <v>1</v>
      </c>
    </row>
    <row r="231" spans="1:17" x14ac:dyDescent="0.3">
      <c r="A231" s="4" t="s">
        <v>82</v>
      </c>
      <c r="B231" s="34">
        <v>45409</v>
      </c>
      <c r="C231" s="5" t="s">
        <v>83</v>
      </c>
      <c r="D231" s="5" t="s">
        <v>84</v>
      </c>
      <c r="E231" s="5" t="s">
        <v>61</v>
      </c>
      <c r="F231" s="5" t="s">
        <v>62</v>
      </c>
      <c r="G231" s="5" t="s">
        <v>19</v>
      </c>
      <c r="H231" s="5">
        <v>1</v>
      </c>
      <c r="I231" s="9">
        <v>899.99</v>
      </c>
      <c r="J231" s="5" t="s">
        <v>57</v>
      </c>
      <c r="K231" s="5" t="s">
        <v>40</v>
      </c>
      <c r="L231" s="5" t="s">
        <v>36</v>
      </c>
      <c r="M231" s="34">
        <v>44920</v>
      </c>
      <c r="N231" s="13">
        <v>899.99</v>
      </c>
      <c r="O231" s="16">
        <f>DATEDIF(data[[#This Row],[Customer_Since]], data[[#This Row],[Date]], "D")</f>
        <v>489</v>
      </c>
      <c r="P231" s="5" t="str">
        <f>TEXT(data[[#This Row],[Date]], "mmm")</f>
        <v>Apr</v>
      </c>
      <c r="Q231" s="5">
        <f>ROUNDUP(MONTH(data[[#This Row],[Date]])/3,0)</f>
        <v>2</v>
      </c>
    </row>
    <row r="232" spans="1:17" x14ac:dyDescent="0.3">
      <c r="A232" s="4" t="s">
        <v>95</v>
      </c>
      <c r="B232" s="34">
        <v>45412</v>
      </c>
      <c r="C232" s="5" t="s">
        <v>96</v>
      </c>
      <c r="D232" s="5" t="s">
        <v>97</v>
      </c>
      <c r="E232" s="5" t="s">
        <v>80</v>
      </c>
      <c r="F232" s="5" t="s">
        <v>81</v>
      </c>
      <c r="G232" s="5" t="s">
        <v>19</v>
      </c>
      <c r="H232" s="5">
        <v>5</v>
      </c>
      <c r="I232" s="9">
        <v>699.99</v>
      </c>
      <c r="J232" s="5" t="s">
        <v>20</v>
      </c>
      <c r="K232" s="5" t="s">
        <v>50</v>
      </c>
      <c r="L232" s="5" t="s">
        <v>22</v>
      </c>
      <c r="M232" s="34">
        <v>45167</v>
      </c>
      <c r="N232" s="13">
        <v>3499.95</v>
      </c>
      <c r="O232" s="16">
        <f>DATEDIF(data[[#This Row],[Customer_Since]], data[[#This Row],[Date]], "D")</f>
        <v>245</v>
      </c>
      <c r="P232" s="5" t="str">
        <f>TEXT(data[[#This Row],[Date]], "mmm")</f>
        <v>Apr</v>
      </c>
      <c r="Q232" s="5">
        <f>ROUNDUP(MONTH(data[[#This Row],[Date]])/3,0)</f>
        <v>2</v>
      </c>
    </row>
    <row r="233" spans="1:17" x14ac:dyDescent="0.3">
      <c r="A233" s="4" t="s">
        <v>135</v>
      </c>
      <c r="B233" s="34">
        <v>45434</v>
      </c>
      <c r="C233" s="5" t="s">
        <v>99</v>
      </c>
      <c r="D233" s="5" t="s">
        <v>100</v>
      </c>
      <c r="E233" s="5" t="s">
        <v>105</v>
      </c>
      <c r="F233" s="5" t="s">
        <v>106</v>
      </c>
      <c r="G233" s="5" t="s">
        <v>46</v>
      </c>
      <c r="H233" s="5">
        <v>3</v>
      </c>
      <c r="I233" s="9">
        <v>299.99</v>
      </c>
      <c r="J233" s="5" t="s">
        <v>26</v>
      </c>
      <c r="K233" s="5" t="s">
        <v>63</v>
      </c>
      <c r="L233" s="5" t="s">
        <v>22</v>
      </c>
      <c r="M233" s="34">
        <v>44824</v>
      </c>
      <c r="N233" s="13">
        <v>899.97</v>
      </c>
      <c r="O233" s="16">
        <f>DATEDIF(data[[#This Row],[Customer_Since]], data[[#This Row],[Date]], "D")</f>
        <v>610</v>
      </c>
      <c r="P233" s="5" t="str">
        <f>TEXT(data[[#This Row],[Date]], "mmm")</f>
        <v>May</v>
      </c>
      <c r="Q233" s="5">
        <f>ROUNDUP(MONTH(data[[#This Row],[Date]])/3,0)</f>
        <v>2</v>
      </c>
    </row>
    <row r="234" spans="1:17" x14ac:dyDescent="0.3">
      <c r="A234" s="4" t="s">
        <v>374</v>
      </c>
      <c r="B234" s="34">
        <v>45723</v>
      </c>
      <c r="C234" s="5" t="s">
        <v>15</v>
      </c>
      <c r="D234" s="5" t="s">
        <v>16</v>
      </c>
      <c r="E234" s="5" t="s">
        <v>117</v>
      </c>
      <c r="F234" s="5" t="s">
        <v>118</v>
      </c>
      <c r="G234" s="5" t="s">
        <v>19</v>
      </c>
      <c r="H234" s="5">
        <v>2</v>
      </c>
      <c r="I234" s="9">
        <v>89.99</v>
      </c>
      <c r="J234" s="5" t="s">
        <v>26</v>
      </c>
      <c r="K234" s="5" t="s">
        <v>50</v>
      </c>
      <c r="L234" s="5" t="s">
        <v>27</v>
      </c>
      <c r="M234" s="34">
        <v>45295</v>
      </c>
      <c r="N234" s="13">
        <v>179.98</v>
      </c>
      <c r="O234" s="16">
        <f>DATEDIF(data[[#This Row],[Customer_Since]], data[[#This Row],[Date]], "D")</f>
        <v>428</v>
      </c>
      <c r="P234" s="5" t="str">
        <f>TEXT(data[[#This Row],[Date]], "mmm")</f>
        <v>Mar</v>
      </c>
      <c r="Q234" s="5">
        <f>ROUNDUP(MONTH(data[[#This Row],[Date]])/3,0)</f>
        <v>1</v>
      </c>
    </row>
    <row r="235" spans="1:17" x14ac:dyDescent="0.3">
      <c r="A235" s="4" t="s">
        <v>156</v>
      </c>
      <c r="B235" s="34">
        <v>45449</v>
      </c>
      <c r="C235" s="5" t="s">
        <v>24</v>
      </c>
      <c r="D235" s="5" t="s">
        <v>25</v>
      </c>
      <c r="E235" s="5" t="s">
        <v>17</v>
      </c>
      <c r="F235" s="5" t="s">
        <v>18</v>
      </c>
      <c r="G235" s="5" t="s">
        <v>19</v>
      </c>
      <c r="H235" s="5">
        <v>5</v>
      </c>
      <c r="I235" s="9">
        <v>249.99</v>
      </c>
      <c r="J235" s="5" t="s">
        <v>26</v>
      </c>
      <c r="K235" s="5" t="s">
        <v>63</v>
      </c>
      <c r="L235" s="5" t="s">
        <v>36</v>
      </c>
      <c r="M235" s="34">
        <v>44707</v>
      </c>
      <c r="N235" s="13">
        <v>1249.95</v>
      </c>
      <c r="O235" s="16">
        <f>DATEDIF(data[[#This Row],[Customer_Since]], data[[#This Row],[Date]], "D")</f>
        <v>742</v>
      </c>
      <c r="P235" s="5" t="str">
        <f>TEXT(data[[#This Row],[Date]], "mmm")</f>
        <v>Jun</v>
      </c>
      <c r="Q235" s="5">
        <f>ROUNDUP(MONTH(data[[#This Row],[Date]])/3,0)</f>
        <v>2</v>
      </c>
    </row>
    <row r="236" spans="1:17" x14ac:dyDescent="0.3">
      <c r="A236" s="4" t="s">
        <v>111</v>
      </c>
      <c r="B236" s="34">
        <v>45424</v>
      </c>
      <c r="C236" s="5" t="s">
        <v>112</v>
      </c>
      <c r="D236" s="5" t="s">
        <v>113</v>
      </c>
      <c r="E236" s="5" t="s">
        <v>114</v>
      </c>
      <c r="F236" s="5" t="s">
        <v>115</v>
      </c>
      <c r="G236" s="5" t="s">
        <v>33</v>
      </c>
      <c r="H236" s="5">
        <v>3</v>
      </c>
      <c r="I236" s="9">
        <v>79.989999999999995</v>
      </c>
      <c r="J236" s="5" t="s">
        <v>34</v>
      </c>
      <c r="K236" s="5" t="s">
        <v>63</v>
      </c>
      <c r="L236" s="5" t="s">
        <v>27</v>
      </c>
      <c r="M236" s="34">
        <v>45012</v>
      </c>
      <c r="N236" s="13">
        <v>239.97</v>
      </c>
      <c r="O236" s="16">
        <f>DATEDIF(data[[#This Row],[Customer_Since]], data[[#This Row],[Date]], "D")</f>
        <v>412</v>
      </c>
      <c r="P236" s="5" t="str">
        <f>TEXT(data[[#This Row],[Date]], "mmm")</f>
        <v>May</v>
      </c>
      <c r="Q236" s="5">
        <f>ROUNDUP(MONTH(data[[#This Row],[Date]])/3,0)</f>
        <v>2</v>
      </c>
    </row>
    <row r="237" spans="1:17" x14ac:dyDescent="0.3">
      <c r="A237" s="4" t="s">
        <v>224</v>
      </c>
      <c r="B237" s="34">
        <v>45526</v>
      </c>
      <c r="C237" s="5" t="s">
        <v>102</v>
      </c>
      <c r="D237" s="5" t="s">
        <v>103</v>
      </c>
      <c r="E237" s="5" t="s">
        <v>44</v>
      </c>
      <c r="F237" s="5" t="s">
        <v>45</v>
      </c>
      <c r="G237" s="5" t="s">
        <v>46</v>
      </c>
      <c r="H237" s="5">
        <v>5</v>
      </c>
      <c r="I237" s="9">
        <v>149.99</v>
      </c>
      <c r="J237" s="5" t="s">
        <v>26</v>
      </c>
      <c r="K237" s="5" t="s">
        <v>21</v>
      </c>
      <c r="L237" s="5" t="s">
        <v>22</v>
      </c>
      <c r="M237" s="34">
        <v>45310</v>
      </c>
      <c r="N237" s="13">
        <v>749.95</v>
      </c>
      <c r="O237" s="16">
        <f>DATEDIF(data[[#This Row],[Customer_Since]], data[[#This Row],[Date]], "D")</f>
        <v>216</v>
      </c>
      <c r="P237" s="5" t="str">
        <f>TEXT(data[[#This Row],[Date]], "mmm")</f>
        <v>Aug</v>
      </c>
      <c r="Q237" s="5">
        <f>ROUNDUP(MONTH(data[[#This Row],[Date]])/3,0)</f>
        <v>3</v>
      </c>
    </row>
    <row r="238" spans="1:17" x14ac:dyDescent="0.3">
      <c r="A238" s="4" t="s">
        <v>327</v>
      </c>
      <c r="B238" s="34">
        <v>45663</v>
      </c>
      <c r="C238" s="5" t="s">
        <v>129</v>
      </c>
      <c r="D238" s="5" t="s">
        <v>130</v>
      </c>
      <c r="E238" s="5" t="s">
        <v>52</v>
      </c>
      <c r="F238" s="5" t="s">
        <v>53</v>
      </c>
      <c r="G238" s="5" t="s">
        <v>19</v>
      </c>
      <c r="H238" s="5">
        <v>5</v>
      </c>
      <c r="I238" s="9">
        <v>149.99</v>
      </c>
      <c r="J238" s="5" t="s">
        <v>34</v>
      </c>
      <c r="K238" s="5" t="s">
        <v>63</v>
      </c>
      <c r="L238" s="5" t="s">
        <v>27</v>
      </c>
      <c r="M238" s="34">
        <v>44824</v>
      </c>
      <c r="N238" s="13">
        <v>749.95</v>
      </c>
      <c r="O238" s="16">
        <f>DATEDIF(data[[#This Row],[Customer_Since]], data[[#This Row],[Date]], "D")</f>
        <v>839</v>
      </c>
      <c r="P238" s="5" t="str">
        <f>TEXT(data[[#This Row],[Date]], "mmm")</f>
        <v>Jan</v>
      </c>
      <c r="Q238" s="5">
        <f>ROUNDUP(MONTH(data[[#This Row],[Date]])/3,0)</f>
        <v>1</v>
      </c>
    </row>
    <row r="239" spans="1:17" x14ac:dyDescent="0.3">
      <c r="A239" s="4" t="s">
        <v>333</v>
      </c>
      <c r="B239" s="34">
        <v>45668</v>
      </c>
      <c r="C239" s="5" t="s">
        <v>78</v>
      </c>
      <c r="D239" s="5" t="s">
        <v>79</v>
      </c>
      <c r="E239" s="5" t="s">
        <v>80</v>
      </c>
      <c r="F239" s="5" t="s">
        <v>81</v>
      </c>
      <c r="G239" s="5" t="s">
        <v>19</v>
      </c>
      <c r="H239" s="5">
        <v>3</v>
      </c>
      <c r="I239" s="9">
        <v>699.99</v>
      </c>
      <c r="J239" s="5" t="s">
        <v>20</v>
      </c>
      <c r="K239" s="5" t="s">
        <v>40</v>
      </c>
      <c r="L239" s="5" t="s">
        <v>27</v>
      </c>
      <c r="M239" s="34">
        <v>44602</v>
      </c>
      <c r="N239" s="13">
        <v>2099.9699999999998</v>
      </c>
      <c r="O239" s="16">
        <f>DATEDIF(data[[#This Row],[Customer_Since]], data[[#This Row],[Date]], "D")</f>
        <v>1066</v>
      </c>
      <c r="P239" s="5" t="str">
        <f>TEXT(data[[#This Row],[Date]], "mmm")</f>
        <v>Jan</v>
      </c>
      <c r="Q239" s="5">
        <f>ROUNDUP(MONTH(data[[#This Row],[Date]])/3,0)</f>
        <v>1</v>
      </c>
    </row>
    <row r="240" spans="1:17" x14ac:dyDescent="0.3">
      <c r="A240" s="4" t="s">
        <v>98</v>
      </c>
      <c r="B240" s="34">
        <v>45413</v>
      </c>
      <c r="C240" s="5" t="s">
        <v>99</v>
      </c>
      <c r="D240" s="5" t="s">
        <v>100</v>
      </c>
      <c r="E240" s="5" t="s">
        <v>80</v>
      </c>
      <c r="F240" s="5" t="s">
        <v>81</v>
      </c>
      <c r="G240" s="5" t="s">
        <v>19</v>
      </c>
      <c r="H240" s="5">
        <v>4</v>
      </c>
      <c r="I240" s="9">
        <v>699.99</v>
      </c>
      <c r="J240" s="5" t="s">
        <v>20</v>
      </c>
      <c r="K240" s="5" t="s">
        <v>63</v>
      </c>
      <c r="L240" s="5" t="s">
        <v>36</v>
      </c>
      <c r="M240" s="34">
        <v>44409</v>
      </c>
      <c r="N240" s="13">
        <v>2799.96</v>
      </c>
      <c r="O240" s="16">
        <f>DATEDIF(data[[#This Row],[Customer_Since]], data[[#This Row],[Date]], "D")</f>
        <v>1004</v>
      </c>
      <c r="P240" s="5" t="str">
        <f>TEXT(data[[#This Row],[Date]], "mmm")</f>
        <v>May</v>
      </c>
      <c r="Q240" s="5">
        <f>ROUNDUP(MONTH(data[[#This Row],[Date]])/3,0)</f>
        <v>2</v>
      </c>
    </row>
    <row r="241" spans="1:17" x14ac:dyDescent="0.3">
      <c r="A241" s="4" t="s">
        <v>54</v>
      </c>
      <c r="B241" s="34">
        <v>45403</v>
      </c>
      <c r="C241" s="5" t="s">
        <v>55</v>
      </c>
      <c r="D241" s="5" t="s">
        <v>56</v>
      </c>
      <c r="E241" s="5" t="s">
        <v>31</v>
      </c>
      <c r="F241" s="5" t="s">
        <v>32</v>
      </c>
      <c r="G241" s="5" t="s">
        <v>33</v>
      </c>
      <c r="H241" s="5">
        <v>3</v>
      </c>
      <c r="I241" s="9">
        <v>59.99</v>
      </c>
      <c r="J241" s="5" t="s">
        <v>57</v>
      </c>
      <c r="K241" s="5" t="s">
        <v>35</v>
      </c>
      <c r="L241" s="5" t="s">
        <v>22</v>
      </c>
      <c r="M241" s="34">
        <v>45007</v>
      </c>
      <c r="N241" s="13">
        <v>179.97</v>
      </c>
      <c r="O241" s="16">
        <f>DATEDIF(data[[#This Row],[Customer_Since]], data[[#This Row],[Date]], "D")</f>
        <v>396</v>
      </c>
      <c r="P241" s="5" t="str">
        <f>TEXT(data[[#This Row],[Date]], "mmm")</f>
        <v>Apr</v>
      </c>
      <c r="Q241" s="5">
        <f>ROUNDUP(MONTH(data[[#This Row],[Date]])/3,0)</f>
        <v>2</v>
      </c>
    </row>
    <row r="242" spans="1:17" x14ac:dyDescent="0.3">
      <c r="A242" s="4" t="s">
        <v>122</v>
      </c>
      <c r="B242" s="34">
        <v>45427</v>
      </c>
      <c r="C242" s="5" t="s">
        <v>123</v>
      </c>
      <c r="D242" s="5" t="s">
        <v>124</v>
      </c>
      <c r="E242" s="5" t="s">
        <v>31</v>
      </c>
      <c r="F242" s="5" t="s">
        <v>32</v>
      </c>
      <c r="G242" s="5" t="s">
        <v>33</v>
      </c>
      <c r="H242" s="5">
        <v>4</v>
      </c>
      <c r="I242" s="9">
        <v>59.99</v>
      </c>
      <c r="J242" s="5" t="s">
        <v>57</v>
      </c>
      <c r="K242" s="5" t="s">
        <v>63</v>
      </c>
      <c r="L242" s="5" t="s">
        <v>36</v>
      </c>
      <c r="M242" s="34">
        <v>44867</v>
      </c>
      <c r="N242" s="13">
        <v>239.96</v>
      </c>
      <c r="O242" s="16">
        <f>DATEDIF(data[[#This Row],[Customer_Since]], data[[#This Row],[Date]], "D")</f>
        <v>560</v>
      </c>
      <c r="P242" s="5" t="str">
        <f>TEXT(data[[#This Row],[Date]], "mmm")</f>
        <v>May</v>
      </c>
      <c r="Q242" s="5">
        <f>ROUNDUP(MONTH(data[[#This Row],[Date]])/3,0)</f>
        <v>2</v>
      </c>
    </row>
    <row r="243" spans="1:17" x14ac:dyDescent="0.3">
      <c r="A243" s="4" t="s">
        <v>104</v>
      </c>
      <c r="B243" s="34">
        <v>45416</v>
      </c>
      <c r="C243" s="5" t="s">
        <v>86</v>
      </c>
      <c r="D243" s="5" t="s">
        <v>87</v>
      </c>
      <c r="E243" s="5" t="s">
        <v>105</v>
      </c>
      <c r="F243" s="5" t="s">
        <v>106</v>
      </c>
      <c r="G243" s="5" t="s">
        <v>46</v>
      </c>
      <c r="H243" s="5">
        <v>4</v>
      </c>
      <c r="I243" s="9">
        <v>299.99</v>
      </c>
      <c r="J243" s="5" t="s">
        <v>20</v>
      </c>
      <c r="K243" s="5" t="s">
        <v>50</v>
      </c>
      <c r="L243" s="5" t="s">
        <v>27</v>
      </c>
      <c r="M243" s="34">
        <v>44716</v>
      </c>
      <c r="N243" s="13">
        <v>1199.96</v>
      </c>
      <c r="O243" s="16">
        <f>DATEDIF(data[[#This Row],[Customer_Since]], data[[#This Row],[Date]], "D")</f>
        <v>700</v>
      </c>
      <c r="P243" s="5" t="str">
        <f>TEXT(data[[#This Row],[Date]], "mmm")</f>
        <v>May</v>
      </c>
      <c r="Q243" s="5">
        <f>ROUNDUP(MONTH(data[[#This Row],[Date]])/3,0)</f>
        <v>2</v>
      </c>
    </row>
    <row r="244" spans="1:17" x14ac:dyDescent="0.3">
      <c r="A244" s="4" t="s">
        <v>331</v>
      </c>
      <c r="B244" s="34">
        <v>45667</v>
      </c>
      <c r="C244" s="5" t="s">
        <v>93</v>
      </c>
      <c r="D244" s="5" t="s">
        <v>94</v>
      </c>
      <c r="E244" s="5" t="s">
        <v>17</v>
      </c>
      <c r="F244" s="5" t="s">
        <v>18</v>
      </c>
      <c r="G244" s="5" t="s">
        <v>19</v>
      </c>
      <c r="H244" s="5">
        <v>5</v>
      </c>
      <c r="I244" s="9">
        <v>249.99</v>
      </c>
      <c r="J244" s="5" t="s">
        <v>26</v>
      </c>
      <c r="K244" s="5" t="s">
        <v>35</v>
      </c>
      <c r="L244" s="5" t="s">
        <v>22</v>
      </c>
      <c r="M244" s="34">
        <v>45330</v>
      </c>
      <c r="N244" s="13">
        <v>1249.95</v>
      </c>
      <c r="O244" s="16">
        <f>DATEDIF(data[[#This Row],[Customer_Since]], data[[#This Row],[Date]], "D")</f>
        <v>337</v>
      </c>
      <c r="P244" s="5" t="str">
        <f>TEXT(data[[#This Row],[Date]], "mmm")</f>
        <v>Jan</v>
      </c>
      <c r="Q244" s="5">
        <f>ROUNDUP(MONTH(data[[#This Row],[Date]])/3,0)</f>
        <v>1</v>
      </c>
    </row>
    <row r="245" spans="1:17" x14ac:dyDescent="0.3">
      <c r="A245" s="4" t="s">
        <v>201</v>
      </c>
      <c r="B245" s="34">
        <v>45497</v>
      </c>
      <c r="C245" s="5" t="s">
        <v>24</v>
      </c>
      <c r="D245" s="5" t="s">
        <v>25</v>
      </c>
      <c r="E245" s="5" t="s">
        <v>61</v>
      </c>
      <c r="F245" s="5" t="s">
        <v>62</v>
      </c>
      <c r="G245" s="5" t="s">
        <v>19</v>
      </c>
      <c r="H245" s="5">
        <v>5</v>
      </c>
      <c r="I245" s="9">
        <v>899.99</v>
      </c>
      <c r="J245" s="5" t="s">
        <v>57</v>
      </c>
      <c r="K245" s="5" t="s">
        <v>35</v>
      </c>
      <c r="L245" s="5" t="s">
        <v>36</v>
      </c>
      <c r="M245" s="34">
        <v>44899</v>
      </c>
      <c r="N245" s="13">
        <v>4499.95</v>
      </c>
      <c r="O245" s="16">
        <f>DATEDIF(data[[#This Row],[Customer_Since]], data[[#This Row],[Date]], "D")</f>
        <v>598</v>
      </c>
      <c r="P245" s="5" t="str">
        <f>TEXT(data[[#This Row],[Date]], "mmm")</f>
        <v>Jul</v>
      </c>
      <c r="Q245" s="5">
        <f>ROUNDUP(MONTH(data[[#This Row],[Date]])/3,0)</f>
        <v>3</v>
      </c>
    </row>
    <row r="246" spans="1:17" x14ac:dyDescent="0.3">
      <c r="A246" s="4" t="s">
        <v>137</v>
      </c>
      <c r="B246" s="34">
        <v>45438</v>
      </c>
      <c r="C246" s="5" t="s">
        <v>138</v>
      </c>
      <c r="D246" s="5" t="s">
        <v>139</v>
      </c>
      <c r="E246" s="5" t="s">
        <v>126</v>
      </c>
      <c r="F246" s="5" t="s">
        <v>127</v>
      </c>
      <c r="G246" s="5" t="s">
        <v>46</v>
      </c>
      <c r="H246" s="5">
        <v>3</v>
      </c>
      <c r="I246" s="9">
        <v>199.99</v>
      </c>
      <c r="J246" s="5" t="s">
        <v>26</v>
      </c>
      <c r="K246" s="5" t="s">
        <v>40</v>
      </c>
      <c r="L246" s="5" t="s">
        <v>27</v>
      </c>
      <c r="M246" s="34">
        <v>45292</v>
      </c>
      <c r="N246" s="13">
        <v>599.97</v>
      </c>
      <c r="O246" s="16">
        <f>DATEDIF(data[[#This Row],[Customer_Since]], data[[#This Row],[Date]], "D")</f>
        <v>146</v>
      </c>
      <c r="P246" s="5" t="str">
        <f>TEXT(data[[#This Row],[Date]], "mmm")</f>
        <v>May</v>
      </c>
      <c r="Q246" s="5">
        <f>ROUNDUP(MONTH(data[[#This Row],[Date]])/3,0)</f>
        <v>2</v>
      </c>
    </row>
    <row r="247" spans="1:17" x14ac:dyDescent="0.3">
      <c r="A247" s="4" t="s">
        <v>71</v>
      </c>
      <c r="B247" s="34">
        <v>45408</v>
      </c>
      <c r="C247" s="5" t="s">
        <v>72</v>
      </c>
      <c r="D247" s="5" t="s">
        <v>73</v>
      </c>
      <c r="E247" s="5" t="s">
        <v>44</v>
      </c>
      <c r="F247" s="5" t="s">
        <v>45</v>
      </c>
      <c r="G247" s="5" t="s">
        <v>46</v>
      </c>
      <c r="H247" s="5">
        <v>3</v>
      </c>
      <c r="I247" s="9">
        <v>149.99</v>
      </c>
      <c r="J247" s="5" t="s">
        <v>20</v>
      </c>
      <c r="K247" s="5" t="s">
        <v>40</v>
      </c>
      <c r="L247" s="5" t="s">
        <v>27</v>
      </c>
      <c r="M247" s="34">
        <v>44806</v>
      </c>
      <c r="N247" s="13">
        <v>449.97</v>
      </c>
      <c r="O247" s="16">
        <f>DATEDIF(data[[#This Row],[Customer_Since]], data[[#This Row],[Date]], "D")</f>
        <v>602</v>
      </c>
      <c r="P247" s="5" t="str">
        <f>TEXT(data[[#This Row],[Date]], "mmm")</f>
        <v>Apr</v>
      </c>
      <c r="Q247" s="5">
        <f>ROUNDUP(MONTH(data[[#This Row],[Date]])/3,0)</f>
        <v>2</v>
      </c>
    </row>
    <row r="248" spans="1:17" x14ac:dyDescent="0.3">
      <c r="A248" s="4" t="s">
        <v>219</v>
      </c>
      <c r="B248" s="34">
        <v>45517</v>
      </c>
      <c r="C248" s="5" t="s">
        <v>38</v>
      </c>
      <c r="D248" s="5" t="s">
        <v>39</v>
      </c>
      <c r="E248" s="5" t="s">
        <v>126</v>
      </c>
      <c r="F248" s="5" t="s">
        <v>127</v>
      </c>
      <c r="G248" s="5" t="s">
        <v>46</v>
      </c>
      <c r="H248" s="5">
        <v>4</v>
      </c>
      <c r="I248" s="9">
        <v>199.99</v>
      </c>
      <c r="J248" s="5" t="s">
        <v>20</v>
      </c>
      <c r="K248" s="5" t="s">
        <v>40</v>
      </c>
      <c r="L248" s="5" t="s">
        <v>36</v>
      </c>
      <c r="M248" s="34">
        <v>44458</v>
      </c>
      <c r="N248" s="13">
        <v>799.96</v>
      </c>
      <c r="O248" s="16">
        <f>DATEDIF(data[[#This Row],[Customer_Since]], data[[#This Row],[Date]], "D")</f>
        <v>1059</v>
      </c>
      <c r="P248" s="5" t="str">
        <f>TEXT(data[[#This Row],[Date]], "mmm")</f>
        <v>Aug</v>
      </c>
      <c r="Q248" s="5">
        <f>ROUNDUP(MONTH(data[[#This Row],[Date]])/3,0)</f>
        <v>3</v>
      </c>
    </row>
    <row r="249" spans="1:17" x14ac:dyDescent="0.3">
      <c r="A249" s="4" t="s">
        <v>233</v>
      </c>
      <c r="B249" s="34">
        <v>45534</v>
      </c>
      <c r="C249" s="5" t="s">
        <v>234</v>
      </c>
      <c r="D249" s="5" t="s">
        <v>235</v>
      </c>
      <c r="E249" s="5" t="s">
        <v>80</v>
      </c>
      <c r="F249" s="5" t="s">
        <v>81</v>
      </c>
      <c r="G249" s="5" t="s">
        <v>19</v>
      </c>
      <c r="H249" s="5">
        <v>2</v>
      </c>
      <c r="I249" s="9">
        <v>699.99</v>
      </c>
      <c r="J249" s="5" t="s">
        <v>26</v>
      </c>
      <c r="K249" s="5" t="s">
        <v>40</v>
      </c>
      <c r="L249" s="5" t="s">
        <v>27</v>
      </c>
      <c r="M249" s="34">
        <v>44421</v>
      </c>
      <c r="N249" s="13">
        <v>1399.98</v>
      </c>
      <c r="O249" s="16">
        <f>DATEDIF(data[[#This Row],[Customer_Since]], data[[#This Row],[Date]], "D")</f>
        <v>1113</v>
      </c>
      <c r="P249" s="5" t="str">
        <f>TEXT(data[[#This Row],[Date]], "mmm")</f>
        <v>Aug</v>
      </c>
      <c r="Q249" s="5">
        <f>ROUNDUP(MONTH(data[[#This Row],[Date]])/3,0)</f>
        <v>3</v>
      </c>
    </row>
    <row r="250" spans="1:17" x14ac:dyDescent="0.3">
      <c r="A250" s="4" t="s">
        <v>209</v>
      </c>
      <c r="B250" s="34">
        <v>45504</v>
      </c>
      <c r="C250" s="5" t="s">
        <v>120</v>
      </c>
      <c r="D250" s="5" t="s">
        <v>121</v>
      </c>
      <c r="E250" s="5" t="s">
        <v>61</v>
      </c>
      <c r="F250" s="5" t="s">
        <v>62</v>
      </c>
      <c r="G250" s="5" t="s">
        <v>19</v>
      </c>
      <c r="H250" s="5">
        <v>4</v>
      </c>
      <c r="I250" s="9">
        <v>899.99</v>
      </c>
      <c r="J250" s="5" t="s">
        <v>57</v>
      </c>
      <c r="K250" s="5" t="s">
        <v>35</v>
      </c>
      <c r="L250" s="5" t="s">
        <v>36</v>
      </c>
      <c r="M250" s="34">
        <v>44523</v>
      </c>
      <c r="N250" s="13">
        <v>3599.96</v>
      </c>
      <c r="O250" s="16">
        <f>DATEDIF(data[[#This Row],[Customer_Since]], data[[#This Row],[Date]], "D")</f>
        <v>981</v>
      </c>
      <c r="P250" s="5" t="str">
        <f>TEXT(data[[#This Row],[Date]], "mmm")</f>
        <v>Jul</v>
      </c>
      <c r="Q250" s="5">
        <f>ROUNDUP(MONTH(data[[#This Row],[Date]])/3,0)</f>
        <v>3</v>
      </c>
    </row>
    <row r="251" spans="1:17" x14ac:dyDescent="0.3">
      <c r="A251" s="6" t="s">
        <v>391</v>
      </c>
      <c r="B251" s="35">
        <v>45746</v>
      </c>
      <c r="C251" s="7" t="s">
        <v>65</v>
      </c>
      <c r="D251" s="7" t="s">
        <v>66</v>
      </c>
      <c r="E251" s="7" t="s">
        <v>117</v>
      </c>
      <c r="F251" s="7" t="s">
        <v>118</v>
      </c>
      <c r="G251" s="7" t="s">
        <v>19</v>
      </c>
      <c r="H251" s="7">
        <v>2</v>
      </c>
      <c r="I251" s="10">
        <v>89.99</v>
      </c>
      <c r="J251" s="7" t="s">
        <v>57</v>
      </c>
      <c r="K251" s="7" t="s">
        <v>50</v>
      </c>
      <c r="L251" s="7" t="s">
        <v>27</v>
      </c>
      <c r="M251" s="35">
        <v>44522</v>
      </c>
      <c r="N251" s="14">
        <v>179.98</v>
      </c>
      <c r="O251" s="16">
        <f>DATEDIF(data[[#This Row],[Customer_Since]], data[[#This Row],[Date]], "D")</f>
        <v>1224</v>
      </c>
      <c r="P251" s="5" t="str">
        <f>TEXT(data[[#This Row],[Date]], "mmm")</f>
        <v>Mar</v>
      </c>
      <c r="Q251" s="5">
        <f>ROUNDUP(MONTH(data[[#This Row],[Date]])/3,0)</f>
        <v>1</v>
      </c>
    </row>
  </sheetData>
  <conditionalFormatting sqref="N1:N1048576">
    <cfRule type="iconSet" priority="1">
      <iconSet iconSet="3Arrows">
        <cfvo type="percent" val="0"/>
        <cfvo type="num" val="200"/>
        <cfvo type="num" val="499"/>
      </iconSet>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Analysis</vt:lpstr>
      <vt:lpstr>What-If</vt:lpstr>
      <vt:lpstr>Datas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2026-09-09T12:34:37Z</dcterms:created>
  <dcterms:modified xsi:type="dcterms:W3CDTF">2026-09-15T12:35:23Z</dcterms:modified>
</cp:coreProperties>
</file>